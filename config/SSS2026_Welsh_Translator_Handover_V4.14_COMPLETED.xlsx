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ASHow\Downloads\"/>
    </mc:Choice>
  </mc:AlternateContent>
  <xr:revisionPtr revIDLastSave="390" documentId="11_194A998212B9ACD8BBB330359C4B1E708CC5CA72" xr6:coauthVersionLast="47" xr6:coauthVersionMax="47" xr10:uidLastSave="{67E6763E-B099-4E5F-8001-82C1B9A982A2}"/>
  <bookViews>
    <workbookView xWindow="-120" yWindow="-120" windowWidth="29040" windowHeight="15720" firstSheet="3" xr2:uid="{00000000-000D-0000-FFFF-FFFF00000000}"/>
  </bookViews>
  <sheets>
    <sheet name="Start here" sheetId="1" r:id="rId1"/>
    <sheet name="1 Confirm corrections" sheetId="2" r:id="rId2"/>
    <sheet name="2 Decide wording" sheetId="3" r:id="rId3"/>
    <sheet name="2b Answer labels" sheetId="4" r:id="rId4"/>
    <sheet name="3 Translate" sheetId="5" r:id="rId5"/>
    <sheet name="4 Check the rules" sheetId="6" r:id="rId6"/>
    <sheet name="5 Check sentences" sheetId="7" r:id="rId7"/>
    <sheet name="Glossary"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 l="1"/>
  <c r="E32" i="1" s="1"/>
  <c r="C31" i="1"/>
  <c r="E31" i="1" s="1"/>
  <c r="C30" i="1"/>
  <c r="E30" i="1" s="1"/>
  <c r="C29" i="1"/>
  <c r="E29" i="1" s="1"/>
  <c r="C28" i="1"/>
  <c r="E28" i="1" s="1"/>
  <c r="C27" i="1"/>
  <c r="E27" i="1" s="1"/>
</calcChain>
</file>

<file path=xl/sharedStrings.xml><?xml version="1.0" encoding="utf-8"?>
<sst xmlns="http://schemas.openxmlformats.org/spreadsheetml/2006/main" count="2443" uniqueCount="1340">
  <si>
    <t>School Sport Survey 2026 — Welsh handover for the interactive school reports</t>
  </si>
  <si>
    <t>Prepared by Industryline Research for the translator · 17 September 2026 (report V4.14) · please read this page first (about five minutes)</t>
  </si>
  <si>
    <t>What the survey is</t>
  </si>
  <si>
    <t>The School Sport Survey 2026 was completed by pupils in schools across Wales, in English or Welsh. It asks how often pupils take part in sport, where they do it, which sports they do and would like to do, how much they enjoy it, how confident they feel and what would help them do more. Sport Wales uses the results to inform funding and sport provision, and every school that took part receives its own report.</t>
  </si>
  <si>
    <t>What is different about these reports</t>
  </si>
  <si>
    <t>Each school’s report is an INTERACTIVE web page. The reader can filter it — by year group, by gender, or by a group of pupils chosen from a chart (for example “pupils who chose Football”) — and every chart changes. Unusually, the written text changes too: the sentences that explain the findings are rewritten to describe exactly the pupils being viewed. For one school that adds up to about 300,000 possible sentences and paragraphs.</t>
  </si>
  <si>
    <t>Why the Welsh is generated by software</t>
  </si>
  <si>
    <t>The reports must be in Welsh as well as English, and 300,000 sentences cannot be translated one by one. So the Welsh sentences are produced by a text-generation engine: it takes the facts the report is showing (a count, a comparison, a ranking), chooses a sentence pattern for each fact, and then applies a set of Welsh grammar rules — mutations, plural forms, the choice of a/ac, the definite article, agreement — step by step until a finished sentence comes out. The patterns and rules were collected from published Welsh-language Sport Wales and Welsh Government statistical reports and standard grammars. But the engine was built by people who do not speak Welsh, so nobody has yet checked that the rules, and the sentences they produce, are right. That is what we need you for.</t>
  </si>
  <si>
    <t>What we need from you — six task sheets</t>
  </si>
  <si>
    <t>1  Confirm corrections — 19 places where a reviewer queried the page text you translated (your text is in the report unchanged). Keep your wording, take the suggestion, or give a new version.
2  Decide wording — 31 wording decisions on page text (register, capitalisation, one consistent term), plus 5 questions about the wording of the survey’s answer options.
2b Answer labels — 72 answer-label rows. Complete the answer/report-label decision on every row and the prefix decision wherever it is yellow: 116 required decisions in total.
3  Translate — 56 short pieces of page text that have no Welsh yet (headings, labels, notes, two data-protection messages and three new accessibility labels).
4  Check the rules — the 43 grammar rules the engine applies, each with a real sentence from the report. Tell us if any rule is wrong.
5  Check sentences — 37 real generated sentences, English beside Welsh, then 19 sentences from your own document beside the software’s version of the same sentence. Mark each as correct or give the corrected Welsh.
A glossary of the terms used in this workbook is on the last sheet.</t>
  </si>
  <si>
    <t>How to fill it in</t>
  </si>
  <si>
    <t>• Every cell you need to fill in is YELLOW. Nothing else needs to be changed.
• Cells with a small arrow have a list to choose from — please pick from the list.
• Where we ask for a new sentence, write the WHOLE sentence or paragraph, ready to paste into the report, not just the changed words.
• Keep anything in curly braces — {n}, {school}, {value} — exactly as it is; the software replaces it with a number or a name.
• Please do not change the English or the reference codes in the first column (ui034, ui.doc_title …); we use them to put your Welsh in the right place.
• If you are unsure, choose the relevant ‘Not sure’ option and explain the uncertainty in the Comment / Why column rather than leaving the row blank.
• A row is not complete until any full-text or comment field required by your choice has also been filled in.
• The same wording can appear thousands of times in the report, so one decision on sheet 2 or a rule change on sheet 4 corrects all of them at once.</t>
  </si>
  <si>
    <t>Two things to know</t>
  </si>
  <si>
    <t>• Pupils answered a Welsh version of the survey. Where the report quotes an answer option (‘Llawer’, ‘Dim o gwbl’, ‘1 waith yr wythnos’), it quotes the survey’s own wording so that pupils and teachers see the words that were in the survey. Sheet 2 asks you to confirm this.
• The report shows survey figures as numbers (12, 366, 16%), never as words. Only a few fixed phrases use number words (un disgybl, dau ddisgybl, y ddwy gamp).</t>
  </si>
  <si>
    <t>When you are done</t>
  </si>
  <si>
    <t>Save the file and return it to Alexander Howson at Industryline Research. If anything in this workbook is unclear, ask before guessing — a short question by email is much cheaper than a wrong decision applied to 300,000 sentences.</t>
  </si>
  <si>
    <t>Your progress (updates as you fill in the sheets)</t>
  </si>
  <si>
    <t>#</t>
  </si>
  <si>
    <t>Sheet</t>
  </si>
  <si>
    <t>Required entries completed</t>
  </si>
  <si>
    <t>Required entries</t>
  </si>
  <si>
    <t>Status</t>
  </si>
  <si>
    <t>1</t>
  </si>
  <si>
    <t>1 Confirm corrections</t>
  </si>
  <si>
    <t>2</t>
  </si>
  <si>
    <t>2 Decide wording</t>
  </si>
  <si>
    <t>2b</t>
  </si>
  <si>
    <t>2b Answer labels</t>
  </si>
  <si>
    <t>3</t>
  </si>
  <si>
    <t>3 Translate</t>
  </si>
  <si>
    <t>4</t>
  </si>
  <si>
    <t>4 Check the rules</t>
  </si>
  <si>
    <t>5</t>
  </si>
  <si>
    <t>5 Check sentences</t>
  </si>
  <si>
    <t>Required entries are the primary yellow decision or translation cells. Status also checks the full-text and comment fields required by the option chosen. Sheet 2b has 72 rows but 116 required entries because 44 filter-chip rows need both an answer-label and a prefix decision.</t>
  </si>
  <si>
    <t>Sheet 1 — Reviewer queries on the page text (19 rows)</t>
  </si>
  <si>
    <t>WHAT THIS IS: a reviewer checked the Welsh page text you supplied and queried 19 places. The report shows YOUR text exactly as you wrote it; nothing has been changed. For each row, the reviewer’s suggestion is in column E — keep your wording, take the suggestion, or give a new version. For five rows (marked “Rewrite” in column A) a new sentence is needed from you.</t>
  </si>
  <si>
    <t>WHAT TO DO: read columns C (English), D (the Welsh now in the report) and E (what was found). Then choose an answer from the list in column G. If you choose “Use my version below”, write the whole corrected sentence or paragraph in column H. Column I is for any comment.</t>
  </si>
  <si>
    <t>Note: column D is your text as it appears in the report today, so “Keep my wording” means leave it exactly as it is.</t>
  </si>
  <si>
    <t>COMPLETE EVERY ROW: choose an answer in G. Also write the full Welsh in H for every row marked “Rewrite” and whenever you choose “Use my version below”. If you choose “Not sure — see comment”, explain the uncertainty in I.</t>
  </si>
  <si>
    <t>Reference</t>
  </si>
  <si>
    <t>Where it appears in the report</t>
  </si>
  <si>
    <t>English (locked — do not change)</t>
  </si>
  <si>
    <t>Welsh now in the report</t>
  </si>
  <si>
    <t>What was found</t>
  </si>
  <si>
    <t>What we need from you</t>
  </si>
  <si>
    <t>Your answer (choose)</t>
  </si>
  <si>
    <t>Your version (write the whole sentence / paragraph)</t>
  </si>
  <si>
    <t>Comment</t>
  </si>
  <si>
    <t>ui034</t>
  </si>
  <si>
    <t>Guide page — the answer to “What is an interactive report?”</t>
  </si>
  <si>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</si>
  <si>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</si>
  <si>
    <t>The sentence used “Yn eich tro”, which means “in your turn”. The English means “in turn / as a result”. A reviewer suggested “Yn ei dro”. The report shows YOUR text unchanged.</t>
  </si>
  <si>
    <t>Tell us whether to keep “Yn eich tro”, use “Yn ei dro”, or use another connective (for example “O ganlyniad”).</t>
  </si>
  <si>
    <t>Use the reviewer’s suggestion</t>
  </si>
  <si>
    <t>ui057</t>
  </si>
  <si>
    <t>Guide page — the answer to “What do the different colours mean?”</t>
  </si>
  <si>
    <t>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</si>
  <si>
    <t>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</si>
  <si>
    <t>The English says dark grey *marks* hidden values (marks = shows). The Welsh had “marciau llwyd tywyll”, which reads as “dark-grey marks” (a noun). A reviewer suggested “mae barrau llwyd tywyll yn dynodi gwerthoedd cuddiedig”. The report shows YOUR text unchanged.</t>
  </si>
  <si>
    <t>Keep your clause, take the suggestion, or give new wording for “dark grey marks suppressed values”.</t>
  </si>
  <si>
    <t>Use my version below</t>
  </si>
  <si>
    <t>Mae barrau’n ymddangos am yn ail mewn coch a glas i helpu i wahaniaethu rhwng categorïau ateb gwahanol. Nid yw’r lliwiau hyn yn golygu bod un ateb yn well neu yn waeth na’r llall. Mae llwyd golau yn dangos barrau na allant gael eu dewis fel hidlyddion ac mae llwyd tywyll yn dynodi gwerthoedd cuddiedig. Pan fydd gwerth yn cael ei ddewis i archwilio ymatebion eraill y grŵp hwnnw, mae’r gwerth yn troi’n felyn i farcio’i fod wedi’i ddewis – gan gyfateb i flwch y grŵp a ddewiswyd ym mhanel Archwilio’r canlyniadau.</t>
  </si>
  <si>
    <t>ui064</t>
  </si>
  <si>
    <t>Guide page — a question heading: “Why are some bars grey, blank or not clickable?”</t>
  </si>
  <si>
    <t>Why are some bars grey, blank or not clickable?</t>
  </si>
  <si>
    <t>Pam mae rhai barrau yn llwyd, yn wag neu nid oes modd clicio arnyn nhw?</t>
  </si>
  <si>
    <t>The question mixed two constructions after one “Pam” (“mae …” and “nid oes …”). A reviewer suggested “Pam mae rhai barrau’n llwyd neu’n wag, neu pam na ellir clicio arnynt?”. The report shows YOUR text unchanged.</t>
  </si>
  <si>
    <t>Keep your question, take the suggestion, or give your version.</t>
  </si>
  <si>
    <t>ui086
(Rewrite)</t>
  </si>
  <si>
    <t>Guide page — the answer to “Why don’t some numbers add to the total number of pupil responses?”</t>
  </si>
  <si>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</si>
  <si>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</si>
  <si>
    <t>The phrase “mae cwestiynau dilynol … yn cael eu holi” makes the *questions* the thing being questioned. The English means the questions are *asked* of certain pupils. We have NOT changed this — it needs a rewrite by you.</t>
  </si>
  <si>
    <t>Please rewrite the sentence so that it says the follow-up questions were asked only of pupils who used that setting. Write the whole sentence in the yellow cell.</t>
  </si>
  <si>
    <r>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r>
    <r>
      <rPr>
        <sz val="10"/>
        <color rgb="FF000000"/>
        <rFont val="Arial"/>
        <charset val="1"/>
      </rPr>
      <t> </t>
    </r>
  </si>
  <si>
    <t>ui087</t>
  </si>
  <si>
    <t>Guide page — a question heading: “Why do some numbers become hidden after applying filters?”</t>
  </si>
  <si>
    <t>Why do some numbers become hidden after applying filters?</t>
  </si>
  <si>
    <t>Pam mae rhai rhifau yn cuddio ar ôl cymhwyso hidlyddion?</t>
  </si>
  <si>
    <t>“mae rhai rhifau yn cuddio” says the numbers hide themselves. The English means they *become hidden*. A reviewer suggested “mae rhai rhifau’n cael eu cuddio”. The report shows YOUR text unchanged.</t>
  </si>
  <si>
    <t>Keep your wording, take the suggestion, or give your version.</t>
  </si>
  <si>
    <t>ui095</t>
  </si>
  <si>
    <t>“Which pupils in our school took part in 2026?” page — the opening paragraph</t>
  </si>
  <si>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</si>
  <si>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</si>
  <si>
    <t>“o gylch hwn yr arolwg” had the words in the wrong order. A reviewer suggested “o gylch yr arolwg hwn”. The report shows YOUR text unchanged.</t>
  </si>
  <si>
    <t>ui104</t>
  </si>
  <si>
    <t>Guide page — a bullet in the answer to “How do I use filters?”</t>
  </si>
  <si>
    <t>Click on each bar and explore how the data changes across different charts.</t>
  </si>
  <si>
    <t>Cliciwch ar bob bar ac archwilio sut mae’r data’n newid ar draws siartiau gwahanol.</t>
  </si>
  <si>
    <t>“Cliciwch … ac archwilio …” joins a command (Cliciwch) with a verb-noun (archwilio). A reviewer suggested two commands: “Cliciwch … ac archwiliwch …”. The report shows YOUR text unchanged.</t>
  </si>
  <si>
    <t>Keep your wording, take the suggestion, or use “Cliciwch … i archwilio …”.</t>
  </si>
  <si>
    <t>ui143
(Rewrite)</t>
  </si>
  <si>
    <t>Disability and long-term condition section — the introductory paragraph</t>
  </si>
  <si>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</si>
  <si>
    <t>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</si>
  <si>
    <t>Two things. (1) “i disgyblion” appears to be missing the soft mutation after “i” — a reviewer suggested “i ddisgyblion”. (2) The three groups of pupils (those who said yes, those who were not sure, those who preferred not to say) are not written as parallel clauses — the last one starts “neu roedd …” while the others are relative clauses. We have NOT changed (2).</t>
  </si>
  <si>
    <t>Decide (1), and rewrite the sentence so that the three groups are listed in the same grammatical form. Write the whole paragraph in the yellow cell.</t>
  </si>
  <si>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 </t>
  </si>
  <si>
    <t>Also added the word 'mynediad' in the first sentence as it read as "get at sport" rather than access sport.</t>
  </si>
  <si>
    <t>ui154</t>
  </si>
  <si>
    <t>Section heading: “How do PE and Active Lessons make our pupils feel?”</t>
  </si>
  <si>
    <t>How do PE and Active Lessons make our pupils feel?</t>
  </si>
  <si>
    <t>Sut mae AG neu Wersi Actif yn gwneud i’n disgyblion deimlo?</t>
  </si>
  <si>
    <t>The English joins the two with “and”; the Welsh had “neu” (“or”). A reviewer suggested “AG a Gwersi Actif”. The report shows YOUR text unchanged.</t>
  </si>
  <si>
    <t>Keep your wording or take the suggestion.</t>
  </si>
  <si>
    <t>ui157
(Rewrite)</t>
  </si>
  <si>
    <t>“What is most important to pupils” section — the introductory paragraph</t>
  </si>
  <si>
    <t>Pupils were asked what is most important to them when they play sport. Pupils could select more than one answer. Pupils could also type in their answer if none of the options suited them.</t>
  </si>
  <si>
    <t>Gofynnwyd i ddisgyblion beth oedd bwysicaf iddynt pan roeddent yn gwneud chwaraeon. Gallai disgyblion ddewis mwy nag un ateb. Hefyd, gallai disgyblion deipio’u hateb os nad oedd yr un o’r opsiynau yn addas iddynt</t>
  </si>
  <si>
    <t>Two things. (1) The paragraph has no closing full stop — a reviewer suggested adding one. (2) The paragraph uses “pan roeddent”; we would like to know whether “pan oeddent” is the better form here.</t>
  </si>
  <si>
    <t>Decide (1), and tell us which form you prefer in (2): “pan roeddent” or “pan oeddent”. If you prefer “pan oeddent”, write the corrected sentence in the yellow cell.</t>
  </si>
  <si>
    <t>Gofynnwyd i ddisgyblion beth oedd bwysicaf iddynt pan roeddent yn gwneud chwaraeon. Gallai disgyblion ddewis mwy nag un ateb. Hefyd, gallai disgyblion deipio’u hateb os nad oedd yr un o’r opsiynau yn addas iddynt.</t>
  </si>
  <si>
    <t>"Roeddent" fits better in this context</t>
  </si>
  <si>
    <t>ui190</t>
  </si>
  <si>
    <t>“Thank you and next steps” page — first paragraph</t>
  </si>
  <si>
    <t>Thank you to every pupil who shared their views, and to the staff who made the survey happen. These findings are your pupils’ voices: the most powerful next step is to discuss them — with staff, with governors, and above all, with pupils themselves.</t>
  </si>
  <si>
    <t>Diolch i bob disgybl a rannodd eu barn, ac i’r staff a sicrhaodd bod yr arolwg yn cael ei gynnal. Y canfyddiadau hyn yw llais eich disgyblion: y cam nesaf mwyaf grymus yw eu trafod – gyda staff, gyda llywodraethwyr ac, yn anad dim, gyda’r disgyblion eu hunain.</t>
  </si>
  <si>
    <t>“bob disgybl a rannodd eu barn” mixed a singular (bob disgybl) with a plural possessive (eu barn). A reviewer suggested “yr holl ddisgyblion a rannodd eu barn”. The report shows YOUR text unchanged.</t>
  </si>
  <si>
    <t>ui197</t>
  </si>
  <si>
    <t>Appendix page — the introductory paragraph</t>
  </si>
  <si>
    <t>Complete answer lists for every reported question, respecting the current filters. In whole-school and phase views the main lists also show boys’ and girls’ counts.</t>
  </si>
  <si>
    <t>Rhestri cyflawn o atebion ar gyfer pob cwestiwn yr adroddwyd arnynt, gan barchu’r hidlyddion presennol. Yng ngwedd yr ysgol gyfan a’r cyfnod, mae’r prif restri hefyd yn dangos nifer y bechgyn a nifer y merched.</t>
  </si>
  <si>
    <t>The plural of “rhestr” was written “Rhestri” / “restri”. A reviewer suggested “Rhestrau” / “restrau”. The report shows YOUR text unchanged.</t>
  </si>
  <si>
    <t>ui250
(Rewrite)</t>
  </si>
  <si>
    <t>Note under the chart of participation by gender and year group</t>
  </si>
  <si>
    <t>The chart shows the number of girls and boys in each year group who said they participated in each setting. (Other genders are not shown here due to small sample sizes.)</t>
  </si>
  <si>
    <t>Mae’r siart yn dangos nifer y merched a’r bechgyn ym mhob grŵp blwyddyn a ddywedodd eu bod yn cymryd rhan ym mhob lleoliad. (Ni ddangosir rhywedd arall fan hyn oherwydd bod maint y samplau yn fach.)</t>
  </si>
  <si>
    <t>The English says “Other genders” (plural); the Welsh had the singular “rhywedd arall”. We have NOT changed this — it is a wording choice for you.</t>
  </si>
  <si>
    <t>Please give us the Welsh you would use for the bracketed sentence “(Other genders are not shown here because the sample sizes are small.)”. Write the whole bracketed sentence in the yellow cell.</t>
  </si>
  <si>
    <t>(Ni ddangosir rhywiau eraill yn fan hyn oherwydd bod maint y samplau yn fach.)</t>
  </si>
  <si>
    <t>ui254</t>
  </si>
  <si>
    <t>Use the Explore results panel on the right-hand side of your screen to select specific groups of pupils.</t>
  </si>
  <si>
    <t>Defnyddio panel Archwilio’r canlyniadau ar ochr dde eich sgrin i ddewis grwpiau penodol o ddisgyblion.</t>
  </si>
  <si>
    <t>“Defnyddio panel …” is a verb-noun; the English is a direct instruction. A reviewer suggested “Defnyddiwch banel …”. The report shows YOUR text unchanged.</t>
  </si>
  <si>
    <t>ui255
(Rewrite)</t>
  </si>
  <si>
    <t>Guide page — the answer to “What do the grey bars and greyed-out sections mean?” (first paragraph)</t>
  </si>
  <si>
    <t>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</si>
  <si>
    <t>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</si>
  <si>
    <t>Two things. (1) “Mae hwn yn cynnwys …” pointed at the bar; the English “This” points at the situation, so a reviewer suggested “Mae hyn yn cynnwys …”. (2) Later in the paragraph the Welsh uses singular agreement (“i’w ddefnyddio fel hidlydd”) where the English refers to plural *response options*. We have NOT changed (2).</t>
  </si>
  <si>
    <t>Decide (1), and rewrite the second sentence so that it agrees with the plural “opsiynau ymateb”. Write the whole paragraph in the yellow cell.</t>
  </si>
  <si>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</si>
  <si>
    <t>The singular agreement is correct in this context as it stays in the singular whether the subject is singular or plural.</t>
  </si>
  <si>
    <t>ui257</t>
  </si>
  <si>
    <t>Guide page — the answer to “What do the grey bars and greyed-out sections mean?” (second paragraph)</t>
  </si>
  <si>
    <t>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</si>
  <si>
    <t>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</si>
  <si>
    <t>The plural “barrau llwyd tywyll” was explained by a singular “gwerth na ellir ei ddangos”. A reviewer suggested the plural “gwerthoedd na ellir eu dangos”. The report shows YOUR text unchanged.</t>
  </si>
  <si>
    <t>community_club_freq</t>
  </si>
  <si>
    <t>Chart heading: “How often are our pupils active through sport in a Club Outside of School each week?”</t>
  </si>
  <si>
    <t>How often are our pupils active through sport in a Club Outside of School each week?</t>
  </si>
  <si>
    <t>Pa mor aml y mae ein disgyblion yn actif drwy chwaraeon yn ystod Clwb y tu allan i’r ysgol bob wythnos?</t>
  </si>
  <si>
    <t>A club is a place, but the Welsh used the time expression “yn ystod” (“during”). A reviewer suggested “mewn clwb y tu allan i’r ysgol”. The report shows YOUR text unchanged.</t>
  </si>
  <si>
    <t>other_setting_freq</t>
  </si>
  <si>
    <t>Chart heading: “How often are our pupils active through sport Somewhere Else?”</t>
  </si>
  <si>
    <t>How often are our pupils active through sport Somewhere Else?</t>
  </si>
  <si>
    <t>Pa mor aml y mae ein disgyblion yn actif drwy chwaraeon Rhywle arall?</t>
  </si>
  <si>
    <t>“gwneud chwaraeon Rhywle arall” had no linking word before “Rhywle arall”. A reviewer suggested “yn rhywle arall”. The report shows YOUR text unchanged.</t>
  </si>
  <si>
    <t>Keep your wording or take the suggestion. (Note: “Somewhere Else” is also the name of an answer option in the survey — “Rhywle arall” — so please keep that wording inside the phrase.)</t>
  </si>
  <si>
    <t>sports_other_setting</t>
  </si>
  <si>
    <t>Chart heading: “Which sports do pupils say they do Somewhere Else?”</t>
  </si>
  <si>
    <t>Which sports do pupils say they do Somewhere Else?</t>
  </si>
  <si>
    <t>Pa chwaraeon y mae disgyblion yn dweud eu bod yn eu gwneud Rhywle arall?</t>
  </si>
  <si>
    <t>Same as the row above: “eu gwneud Rhywle arall” had no linking word. A reviewer suggested “eu gwneud yn rhywle arall”. The report shows YOUR text unchanged.</t>
  </si>
  <si>
    <t>EXAMPLE</t>
  </si>
  <si>
    <t>This is what a filled-in row looks like — it is not a real item.</t>
  </si>
  <si>
    <t>(the whole corrected sentence, written here)</t>
  </si>
  <si>
    <t>(any note for us)</t>
  </si>
  <si>
    <t>Sheet 2 — Wording decisions on the page text (31 rows) and on the survey’s answer options (5 rows)</t>
  </si>
  <si>
    <t>WHAT THIS IS: the reviewer also listed 31 places where the Welsh is probably fine but a choice is needed — register (formal “y mae” or not), capital letters inside headings, one consistent term where two are used, a natural way to write a chart question. None of these has been changed in the report yet. Several rows share one decision; the “What we need” column says which rows go together — answer the first and just write “same as …” for the others if you like.</t>
  </si>
  <si>
    <t>WHAT TO DO: read the English (C), the Welsh now in the report (D) and the question (E). Choose an answer in column G. If you choose “Use my version”, write the full text in column H.</t>
  </si>
  <si>
    <t>At the bottom of the sheet (rows marked AW-1 to AW-5) are five questions about the wording of the survey’s ANSWER OPTIONS, which the report quotes thousands of times. Please read those carefully — they affect more text than anything else in this workbook.</t>
  </si>
  <si>
    <t>COMPLETE EVERY ROW: choose an answer in G. If you choose “Use my version below” or “See my answer in the next column”, write the complete wording in H. If you choose “Not sure — see comment”, explain the uncertainty in I.</t>
  </si>
  <si>
    <t>English (locked)</t>
  </si>
  <si>
    <t>The question</t>
  </si>
  <si>
    <t>Our suggested wording (if any)</t>
  </si>
  <si>
    <t>Your version (write the whole text)</t>
  </si>
  <si>
    <t>ui009</t>
  </si>
  <si>
    <t>Introduction — the opening paragraph</t>
  </si>
  <si>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</si>
  <si>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</si>
  <si>
    <t>The last clause (about how children want sport to look in the future) reads awkwardly to us and may not say what the English says: “how they want sport to look in the future”.
Tell us whether the last clause is natural Welsh. If not, write the clause (or the whole sentence) as you would say it.</t>
  </si>
  <si>
    <t>—</t>
  </si>
  <si>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hoffent i chwaraeon edrych yn y dyfodol.</t>
  </si>
  <si>
    <t>ui016</t>
  </si>
  <si>
    <t>Introduction — the paragraph beginning “Together, your responses …”</t>
  </si>
  <si>
    <t>Together, your responses are helping Sport Wales, schools and partners across Wales better understand what matters most to children and young people, ensuring that future decisions are informed by their voices.</t>
  </si>
  <si>
    <t>Gyda’i gilydd, mae eich ymatebion yn helpu Chwaraeon Cymru, ysgolion a phartneriaid ar draws Cymru i ddeall beth sydd bwysicaf i blant a phobl ifanc yn well, gan sicrhau bod eu lleisiau nhw yn llywio penderfyniadau yn y dyfodol.</t>
  </si>
  <si>
    <t>“i ddeall beth sydd bwysicaf … yn well” puts “yn well” (better) a long way from the verb, so it can attach to the wrong idea.
Choose: keep as it is, use the suggestion, or give your own wording.</t>
  </si>
  <si>
    <t>i ddeall yn well beth sydd bwysicaf i blant a phobl ifanc</t>
  </si>
  <si>
    <t>Use the suggested wording</t>
  </si>
  <si>
    <t>ui027</t>
  </si>
  <si>
    <t>Contents page — the description under “Sport Specific Data”</t>
  </si>
  <si>
    <t>Sport-by-sport detail: what pupils do in each setting, and the sports they would like to do more of.</t>
  </si>
  <si>
    <t>Manylion camp wrth gamp: beth mae disgyblion yn ei wneud ym mhob lleoliad, a’r campau yr hoffent wneud mwy ohonynt.</t>
  </si>
  <si>
    <t>“y campau yr hoffent wneud mwy ohonynt” — should there be an object pronoun, i.e. “yr hoffent *eu* gwneud mwy ohonynt”? The same construction appears in three other places (rows ui171, sports_wanted and unmet_demand below); we will apply your answer to all of them.
Tell us the correct form of “the sports they would like to do more of”. We will use it everywhere.</t>
  </si>
  <si>
    <t>y campau yr hoffent eu gwneud mwy ohonynt</t>
  </si>
  <si>
    <t>Keep as it is</t>
  </si>
  <si>
    <t>Either version can be used, but the original "y campau yr hoffent wneud mwy ohonynt" reads better.</t>
  </si>
  <si>
    <t>ui084</t>
  </si>
  <si>
    <t>Guide page — the answer to “Why don’t some percentages add to 100%?”</t>
  </si>
  <si>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</si>
  <si>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</si>
  <si>
    <t>“pam nad yw canrannau efallai’n adio i 100%” — the position of “efallai” (perhaps) reads oddly to us.
Choose: keep, use the suggestion, or give your own wording.</t>
  </si>
  <si>
    <t>Mae dau reswm pam efallai nad yw’r canrannau’n adio i 100%.</t>
  </si>
  <si>
    <t>ui088</t>
  </si>
  <si>
    <t>Guide page — the answer to “Why do some numbers become hidden after applying filters?”</t>
  </si>
  <si>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</si>
  <si>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</si>
  <si>
    <t>The second sentence starts “Yn ei thro, mae gwybodaeth …”. Is “Yn ei thro” (agreeing with “gwybodaeth”) right here for “In turn”, or should it be the fixed phrase “Yn ei dro”, or a different connective such as “O ganlyniad”?
Tell us which connective to use.</t>
  </si>
  <si>
    <t>O ganlyniad, mae gwybodaeth yn cael ei chuddio …</t>
  </si>
  <si>
    <t>ui099</t>
  </si>
  <si>
    <t>“An Active Nation for Everyone” chapter — the opening paragraph</t>
  </si>
  <si>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</si>
  <si>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</si>
  <si>
    <t>“pa mor aml mae disgyblion yn actif” — elsewhere the report uses the more formal “pa mor aml y mae …” (with “y”). We would like one consistent form throughout the report.
Tell us which form to use everywhere: “pa mor aml mae …” or “pa mor aml y mae …”. (Row ui166 is the same question.)</t>
  </si>
  <si>
    <t>pa mor aml y mae disgyblion yn actif</t>
  </si>
  <si>
    <t>ui109</t>
  </si>
  <si>
    <t>Section heading: “How are our pupils active through sport in School?”</t>
  </si>
  <si>
    <t>How are our pupils active through sport in School?</t>
  </si>
  <si>
    <t>Sut mae ein disgyblion yn actif drwy chwaraeon yn yr Ysgol?</t>
  </si>
  <si>
    <t>“yn yr Ysgol” has a capital Y in the middle of a heading. The English capitalises “School” as a label, but in Welsh we think it should be lower case.
Choose: keep the capital, or use lower case. Your answer will also decide rows ui120, ui202 and ui224 (the same capitalisation question).</t>
  </si>
  <si>
    <t>Sut mae ein disgyblion yn actif drwy chwaraeon yn yr ysgol?</t>
  </si>
  <si>
    <t>ui110</t>
  </si>
  <si>
    <t>“In School” section — the introductory paragraph</t>
  </si>
  <si>
    <t>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</si>
  <si>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</si>
  <si>
    <t>The paragraph says “ar draws 2 gyd-destun” with the figure 2. Should this be written as the word “dau gyd-destun” in running text? (The report always uses figures for survey results, but this is ordinary prose.)
Tell us whether to use “2” or “dau” here. Row ui121 is the same question.</t>
  </si>
  <si>
    <t>ar draws dau gyd-destun ysgol</t>
  </si>
  <si>
    <t>ui120</t>
  </si>
  <si>
    <t>Section heading: “How are our pupils active through sport Outside of School?”</t>
  </si>
  <si>
    <t>How are our pupils active through sport Outside of School?</t>
  </si>
  <si>
    <t>Sut mae ein disgyblion yn actif drwy chwaraeon y Tu allan i’r Ysgol?</t>
  </si>
  <si>
    <t>“y Tu allan i’r Ysgol” has capitals in the middle of the heading (see ui109).
Same decision as ui109.</t>
  </si>
  <si>
    <t>Sut mae ein disgyblion yn actif drwy chwaraeon y tu allan i’r ysgol?</t>
  </si>
  <si>
    <t>ui121</t>
  </si>
  <si>
    <t>“Outside of School” section — the first line of the introduction</t>
  </si>
  <si>
    <t>We captured pupils’ sporting habits across two contexts outside of school:</t>
  </si>
  <si>
    <t>Cipiom arferion chwaraeon disgyblion ar draws 2 gyd-destun y tu allan i’r ysgol:</t>
  </si>
  <si>
    <t>“ar draws 2 gyd-destun y tu allan i’r ysgol” — figure or word? (see ui110)
Same decision as ui110.</t>
  </si>
  <si>
    <t>ar draws dau gyd-destun y tu allan i’r ysgol</t>
  </si>
  <si>
    <t>ui144</t>
  </si>
  <si>
    <t>Section heading: “Where are our pupils from ethnically diverse backgrounds active?”</t>
  </si>
  <si>
    <t>Where are our pupils from ethnically diverse backgrounds active?</t>
  </si>
  <si>
    <t>Ble mae ein disgyblion o gefndiroedd amrywiol yn ethnig yn actif?</t>
  </si>
  <si>
    <t>“o gefndiroedd amrywiol yn ethnig” — we think “o gefndiroedd ethnig amrywiol” is the natural order. The same phrase is used in a chart heading (row settings_ed) and in the filter labels.
Tell us the term to use for “ethnically diverse backgrounds”; we will use it everywhere.</t>
  </si>
  <si>
    <t>Ble mae ein disgyblion o gefndiroedd ethnig amrywiol yn actif?</t>
  </si>
  <si>
    <t>ui163</t>
  </si>
  <si>
    <t>Enjoyment section — the paragraph introducing the table by year group</t>
  </si>
  <si>
    <t>Enjoyment can differ between groups and change as pupils get older. The table shows how many pupils in each year group said they enjoy sport ‘a lot’ in each setting.</t>
  </si>
  <si>
    <t>Gall mwynhad amrywio rhwng grwpiau o ddisgyblion a newid wrth i ddisgyblion fynd yn hŷn. Mae’r tabl yn dangos faint o ddisgyblion ym mhob grŵp blwyddyn ddywedodd eu bod yn mwynhau chwaraeon ‘llawer’ ym mhob lleoliad.</t>
  </si>
  <si>
    <t>“faint o ddisgyblion ym mhob grŵp blwyddyn ddywedodd eu bod …” — should there be a relative particle: “… a ddywedodd eu bod …”?
Choose: keep, use the suggestion, or give your own wording.</t>
  </si>
  <si>
    <t>Mae’r tabl yn dangos faint o ddisgyblion ym mhob grŵp blwyddyn a ddywedodd eu bod yn mwynhau chwaraeon ‘llawer’ ym mhob lleoliad.</t>
  </si>
  <si>
    <t>ui166</t>
  </si>
  <si>
    <t>Section heading: “How confident do our pupils feel?”</t>
  </si>
  <si>
    <t>How confident do our pupils feel?</t>
  </si>
  <si>
    <t>Pa mor hyderus mae ein disgyblion yn teimlo?</t>
  </si>
  <si>
    <t>“Pa mor hyderus mae ein disgyblion yn teimlo?” — with or without “y” (see ui099)?
Same decision as ui099.</t>
  </si>
  <si>
    <t>Pa mor hyderus y mae ein disgyblion yn teimlo?</t>
  </si>
  <si>
    <t>ui171</t>
  </si>
  <si>
    <t>“Sport Specific Data” chapter — the opening paragraph</t>
  </si>
  <si>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</si>
  <si>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</si>
  <si>
    <t>Contains “y chwaraeon yr hoffent wneud mwy ohonynt” — the same object-relative question as ui027.
Same decision as ui027.</t>
  </si>
  <si>
    <t>y chwaraeon yr hoffent eu gwneud mwy ohonynt</t>
  </si>
  <si>
    <t>ui202</t>
  </si>
  <si>
    <t>Side panel — the heading above the list of report sections</t>
  </si>
  <si>
    <t>Click to navigate to a report section</t>
  </si>
  <si>
    <t>Cliciwch i Neidio i ran o’r adroddiad</t>
  </si>
  <si>
    <t>“Cliciwch i Neidio i ran o’r adroddiad” has a capital N on “Neidio” mid-sentence (see ui109).
Same decision as ui109.</t>
  </si>
  <si>
    <t>Cliciwch i neidio i ran o’r adroddiad</t>
  </si>
  <si>
    <t>ui217</t>
  </si>
  <si>
    <t>Chart heading: “Do PE and Active Lessons make you feel: Healthy?”</t>
  </si>
  <si>
    <t>Do PE and Active Lessons make you feel: Healthy?</t>
  </si>
  <si>
    <t>A yw AG a Gwersi Actif yn gwneud i chi deimlo: Yn iach?</t>
  </si>
  <si>
    <t>In the English the heading is a question stem plus an answer (“… make you feel: Healthy?”). The Welsh copies the colon: “… yn gwneud i chi deimlo: Yn iach?”, which is not a natural Welsh question. We would prefer one complete question per chart.
Give us one complete Welsh question for this chart (or confirm the suggestion). Rows ui218–ui223 are the same pattern.</t>
  </si>
  <si>
    <t>A yw AG a Gwersi Actif yn gwneud i chi deimlo’n iach?</t>
  </si>
  <si>
    <t>ui218</t>
  </si>
  <si>
    <t>Chart heading: “Do PE and Active Lessons make you feel: Confident?”</t>
  </si>
  <si>
    <t>Do PE and Active Lessons make you feel: Confident?</t>
  </si>
  <si>
    <t>A yw AG a Gwersi Actif yn gwneud i chi deimlo: Yn hyderus?</t>
  </si>
  <si>
    <t>Same pattern as ui217.
One complete Welsh question.</t>
  </si>
  <si>
    <t>A yw AG a Gwersi Actif yn gwneud i chi deimlo’n hyderus?</t>
  </si>
  <si>
    <t>ui219</t>
  </si>
  <si>
    <t>Chart heading: “Do PE and Active Lessons make you feel: Ready to learn?”</t>
  </si>
  <si>
    <t>Do PE and Active Lessons make you feel: Ready to learn?</t>
  </si>
  <si>
    <t>A yw AG a Gwersi Actif yn gwneud i chi deimlo: Yn barod i ddysgu?</t>
  </si>
  <si>
    <t>A yw AG a Gwersi Actif yn gwneud i chi deimlo’n barod i ddysgu?</t>
  </si>
  <si>
    <t>ui220</t>
  </si>
  <si>
    <t>Chart heading: “How much do pupils enjoy sport: in PE Lessons?”</t>
  </si>
  <si>
    <t>How much do pupils enjoy sport: in PE Lessons?</t>
  </si>
  <si>
    <t>Faint mae disgyblion yn mwynhau chwaraeon: mewn Gwersi AG?</t>
  </si>
  <si>
    <t>Same pattern as ui217 — the colon interrupts the question before the place.
One complete Welsh question.</t>
  </si>
  <si>
    <t>Faint mae disgyblion yn mwynhau chwaraeon mewn gwersi AG?</t>
  </si>
  <si>
    <t>ui221</t>
  </si>
  <si>
    <t>Chart heading: “How much do pupils enjoy sport: in School Sports Clubs?”</t>
  </si>
  <si>
    <t>How much do pupils enjoy sport: in School Sports Clubs?</t>
  </si>
  <si>
    <t>Faint mae disgyblion yn mwynhau chwaraeon: mewn Clybiau Chwaraeon Ysgol?</t>
  </si>
  <si>
    <t>Same pattern as ui217.
One complete Welsh question. Please use the same term for “School Sports Clubs” as in the survey (“Clybiau Chwaraeon Ysgol”).</t>
  </si>
  <si>
    <t>Faint mae disgyblion yn mwynhau chwaraeon mewn clybiau chwaraeon ysgol?</t>
  </si>
  <si>
    <t>ui222</t>
  </si>
  <si>
    <t>Chart heading: “How much do pupils enjoy sport: in Clubs Outside of School?”</t>
  </si>
  <si>
    <t>How much do pupils enjoy sport: in Clubs Outside of School?</t>
  </si>
  <si>
    <t>Faint mae disgyblion yn mwynhau chwaraeon: mewn Clybiau’r tu allan i’r ysgol?</t>
  </si>
  <si>
    <t>Faint mae disgyblion yn mwynhau chwaraeon mewn clybiau y tu allan i’r ysgol?</t>
  </si>
  <si>
    <t>ui223</t>
  </si>
  <si>
    <t>Chart heading: “How much do pupils enjoy sport: in Other Settings, like the park or garden?”</t>
  </si>
  <si>
    <t>How much do pupils enjoy sport: in Other Settings, like the park or garden?</t>
  </si>
  <si>
    <t>Faint mae disgyblion yn mwynhau chwaraeon: Mewn Lleoliadau eraill, fel y parc neu’r ardd?</t>
  </si>
  <si>
    <t>Same pattern as ui217, plus a capital M on “Mewn” mid-sentence.
One complete Welsh question.</t>
  </si>
  <si>
    <t>Faint mae disgyblion yn mwynhau chwaraeon mewn lleoliadau eraill, fel y parc neu’r ardd?</t>
  </si>
  <si>
    <t>ui224</t>
  </si>
  <si>
    <t>The label above every chart explanation: “What is this chart showing?”</t>
  </si>
  <si>
    <t>What is this chart showing?</t>
  </si>
  <si>
    <t>Beth mae’r Siart hon yn ei ddangos?</t>
  </si>
  <si>
    <t>“Beth mae’r Siart hon yn ei ddangos?” has a capital S mid-sentence (see ui109).
Same decision as ui109.</t>
  </si>
  <si>
    <t>Beth mae’r siart hon yn ei ddangos?</t>
  </si>
  <si>
    <t>ui249</t>
  </si>
  <si>
    <t>Welsh-speaking pupils section — the introductory paragraph</t>
  </si>
  <si>
    <t>Pupils were asked about their ability to speak Welsh. Pupils who said they speak Welsh very well, a fair amount or a little are shown here. These pupils are categorised as ‘Speaks Welsh’. These pupils were also asked whether they usually speak Welsh when they play sport.</t>
  </si>
  <si>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</si>
  <si>
    <t>“Mae disgyblion y dywedont eu bod …” uses a literary form (“y dywedont”). Elsewhere the report uses the past “a ddywedodd”. We would like one consistent register.
Choose: keep, use the suggestion, or give your own wording.</t>
  </si>
  <si>
    <t>Mae disgyblion a ddywedodd eu bod yn siarad Cymraeg yn dda iawn, eithaf tipyn neu ychydig yn cael eu dangos yma.</t>
  </si>
  <si>
    <t>ui256</t>
  </si>
  <si>
    <t>Guide page — the answer to “What do the numbers tell me?” (worked example)</t>
  </si>
  <si>
    <t>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</si>
  <si>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</si>
  <si>
    <t>The example refers back to two sports as “y ddau”. Because “camp” is feminine, should this be “y ddwy gamp” (or another neutral phrase)?
Tell us how to refer back to “the two sports”.</t>
  </si>
  <si>
    <t>y ddwy gamp</t>
  </si>
  <si>
    <t>disability_condition</t>
  </si>
  <si>
    <t>Chart heading: “How many of our pupils have a disability or long-term condition?”</t>
  </si>
  <si>
    <t>How many of our pupils have a disability or long-term condition?</t>
  </si>
  <si>
    <t>Faint o’n disgyblion sydd ag anabledd neu gyflwr tymor hir?</t>
  </si>
  <si>
    <t>This heading says “cyflwr tymor hir”; your page text elsewhere uses “cyflwr hirdymor”. The survey pupils answered used “cyflwr tymor hir”. We need ONE term for “long-term condition” everywhere (headings, filter labels and thousands of generated sentences).
Tell us the one term to use everywhere: “cyflwr tymor hir” or “cyflwr hirdymor”.</t>
  </si>
  <si>
    <t>cyflwr hirdymor</t>
  </si>
  <si>
    <t>settings_ed</t>
  </si>
  <si>
    <t>Chart heading: “Where are our pupils from ethnically diverse backgrounds active through sport?”</t>
  </si>
  <si>
    <t>Where are our pupils from ethnically diverse backgrounds active through sport?</t>
  </si>
  <si>
    <t>Ble mae ein disgyblion o gefndiroedd amrywiol yn ethnig yn actif drwy chwaraeon?</t>
  </si>
  <si>
    <t>Same term question as ui144 (“cefndiroedd amrywiol yn ethnig” vs “cefndiroedd ethnig amrywiol”).
Same decision as ui144.</t>
  </si>
  <si>
    <t>Ble mae ein disgyblion o gefndiroedd ethnig amrywiol yn actif drwy chwaraeon?</t>
  </si>
  <si>
    <t>sports_wanted</t>
  </si>
  <si>
    <t>Chart heading: “Which sports would our pupils like to do more of?”</t>
  </si>
  <si>
    <t>Which sports would our pupils like to do more of?</t>
  </si>
  <si>
    <t>Pa chwaraeon hoffai ein disgyblion wneud mwy ohonynt?</t>
  </si>
  <si>
    <t>Same object-relative question as ui027: “hoffai ein disgyblion wneud mwy ohonynt” or “… eu gwneud mwy ohonynt”?
Same decision as ui027.</t>
  </si>
  <si>
    <t>Pa chwaraeon yr hoffai ein disgyblion eu gwneud mwy ohonynt?</t>
  </si>
  <si>
    <t>unmet_demand</t>
  </si>
  <si>
    <t>Chart heading: “Which sports would our pupils like to do more of but are not currently doing?”</t>
  </si>
  <si>
    <t>Which sports would our pupils like to do more of but are not currently doing?</t>
  </si>
  <si>
    <t>Pa chwaraeon hoffai ein disgyblion wneud mwy ohonynt, ond nid ydynt yn eu gwneud ar hyn o bryd?</t>
  </si>
  <si>
    <t>Same object-relative question as ui027.
Same decision as ui027.</t>
  </si>
  <si>
    <t>Pa chwaraeon yr hoffai ein disgyblion eu gwneud mwy ohonynt, ond nad ydynt yn eu gwneud ar hyn o bryd?</t>
  </si>
  <si>
    <t>ui.note_other_sports</t>
  </si>
  <si>
    <t>Note under the sport charts explaining “Other sports”</t>
  </si>
  <si>
    <t>“Other sports” refers to any sports pupils selected from a supplementary list of sports if their sport was not included in the main list of sports. These have been grouped together for ease of reporting. These are reported in detail in the appendix.</t>
  </si>
  <si>
    <t>Mae “Campau eraill” yn cyfeirio at unrhyw gampau a ddewisodd disgyblion o restr atodol o gampau os nad oedd eu camp wedi’i chynnwys yn y brif restr. Mae’r rhain wedi’u grwpio gyda’i gilydd er hwylustod adrodd. Adroddir arnynt yn fanwl yn yr atodiad.</t>
  </si>
  <si>
    <t>“unrhyw gampau” — “unrhyw” normally takes a singular noun (“unrhyw gamp”). Which is right here?
Tell us: “unrhyw gampau” or “unrhyw gamp”.</t>
  </si>
  <si>
    <t>unrhyw gamp</t>
  </si>
  <si>
    <t>ui.stack_caption_sex</t>
  </si>
  <si>
    <t>Caption of the data table under the participation-by-gender chart</t>
  </si>
  <si>
    <t>Pupils who did at least one sport in each setting, by year group and gender.</t>
  </si>
  <si>
    <t>Disgyblion a wnaeth o leiaf un gamp ym mhob lleoliad, fesul grŵp blwyddyn a rhywedd.</t>
  </si>
  <si>
    <t>The caption uses “fesul grŵp blwyddyn a rhywedd”. Your page text uses “rhywedd” for gender throughout, and the survey itself used “Rhywedd” too. Please confirm that “rhywedd” is the term to use for “gender” everywhere in the report.
Confirm “rhywedd”.</t>
  </si>
  <si>
    <t>rhywedd</t>
  </si>
  <si>
    <t>Answer options — how the report quotes what pupils answered (please read the Start here page, “Two things to know”)</t>
  </si>
  <si>
    <t>AW-1</t>
  </si>
  <si>
    <t>Answer options quoted in the report</t>
  </si>
  <si>
    <t>The report quotes pupils’ answer options inside sentences, thousands of times — for example “dywedodd 92 o’r 366 ‘Dim Llawer’ neu ‘Dim o gwbl’”. The Welsh answer options in the report are copied EXACTLY from the Welsh survey the pupils filled in (for example “Dim Llawer”, “1 waith yr wythnos”, “Yn sefyll”, “Dydw i ddim yn gwybod”, “Pe bai mwy o chwaraeon rydw i’n eu hoffi”). Your document gives different wording for about 40 of them (for example “Ddim llawer”, “Unwaith yr wythnos”, “Sefyll”, “Ddim yn gwybod”, “Roedd mwy o chwaraeon rydw i’n eu hoffi”).
Tell us which to use in the report: (a) the survey’s wording, exactly as pupils saw it, or (b) the wording in your document. If (b), please confirm you are happy for the report to quote answers in words the pupils did not see.</t>
  </si>
  <si>
    <t>Our recommendation: keep the survey wording, because it is what the pupils actually saw and chose.</t>
  </si>
  <si>
    <t>Keep the survey wording</t>
  </si>
  <si>
    <t>AW-2</t>
  </si>
  <si>
    <t>The three “PE and Active Lessons” charts (Healthy / Confident / Ready to learn)</t>
  </si>
  <si>
    <t>The survey used the same four answers for all three questions: “Llawer / Eithaf / Dim llawer / Dim o gwbl”. Your document instead gives full phrases that differ by question (“Yn iach iawn”, “Yn hyderus iawn”, “Yn barod iawn i ddysgu” …). Our system can hold a different set of answer labels for each of the three questions, but only if you give us all twelve.
If you want question-specific answers, fill in the twelve labels in the yellow cell (Healthy: very / quite / not very / not at all; Confident: …; Ready to learn: …). If you prefer the survey’s four shared answers, say “keep survey wording”.</t>
  </si>
  <si>
    <t>AW-3</t>
  </si>
  <si>
    <t>The filter group “Ethnically diverse background: Yes / No”</t>
  </si>
  <si>
    <t>This group is not a survey question — it is built from the ethnicity question — so there is no “Oes / Nac oes” for pupils to have answered. The report currently names the group instead: “Cefndir ethnig amrywiol” and “Heb fod o gefndir ethnig amrywiol”. Your document gives “Oes / Nac oes”.
Tell us: keep the named form, or use “Oes / Nac oes”.</t>
  </si>
  <si>
    <t>Our recommendation: keep the named form, because the pupils never answered yes or no to this.</t>
  </si>
  <si>
    <t>Use my document’s wording</t>
  </si>
  <si>
    <t>Keep the named form.</t>
  </si>
  <si>
    <t>AW-4</t>
  </si>
  <si>
    <t>One term for each concept</t>
  </si>
  <si>
    <t>Some concepts appear in several places (a chart heading, a filter label, a table caption and inside generated sentences) and currently use two forms. We need ONE form for each: “cyflwr tymor hir” or “cyflwr hirdymor”; “Dydw i ddim yn siŵr” or “Ddim yn siŵr”; “Mae’n well gen i beidio â dweud” or “Mae’n well gennyf beidio â dweud”; “Dim Llawer” or “Ddim llawer”; “Yn sefyll / Yn eistedd” or “Sefyll / Eistedd”; “camp / campau” or “chwaraeon” for a sport / sports (your note says “Chwaraeon eraill”, the chart label and every generated sentence say “camp”); “y golwg hwn” or “y wedd hon” for “this view” (your caption says “yn y wedd hon”; the report says “yn y golwg hwn”); “{n} ymateb disgybl wedi’u cynnwys” or “{n} ymateb gan ddisgyblion wedi’u cynnwys” for the banner count (your version uses “gan ddisgyblion”).
For each pair, write the form to use everywhere in the yellow cell (one per line).</t>
  </si>
  <si>
    <t>See my answer in the next column</t>
  </si>
  <si>
    <t xml:space="preserve">Cyflwr hirdymor 
Ddim yn siŵr 
Mae’n well gennyf beidio â dweud 
Dim Llawer 
Camp/campau 
Sefyll / Eistedd 
Y golwg hwn 
{n} ymateb disgybl wedi’u cynnwys </t>
  </si>
  <si>
    <t>AW-5</t>
  </si>
  <si>
    <t>Yes / No answers: the pupil’s voice or the report’s voice?</t>
  </si>
  <si>
    <t>Where a chart or filter shows a pupil’s yes/no answer, the report currently echoes the survey’s own answer word in the pupil’s voice, exactly as it appeared on screen: “Ydw / Nac ydw” (“Do you usually speak Welsh when you play sport?”), “Oes / Nac oes” (“Do you have a disability …?”). Your document writes these in the third person, as a report about the pupil: “Ydy / Nac ydy”. Both are correct Welsh; they are different points of view.
Tell us which voice to use for every yes/no answer in the report (one decision covers all of them).</t>
  </si>
  <si>
    <t>Our recommendation: the survey’s form, so the report shows what the pupil ticked.</t>
  </si>
  <si>
    <t>Sheet 2b — Answer labels: the survey’s Welsh, the report today and your document, side by side (72 rows)</t>
  </si>
  <si>
    <t>HOW TO READ THIS: many labels in the report are a filter-group chip made of two parts — a PREFIX that names the question (“Would do more sport if:”) and an ANSWER that is one of the survey’s answer options (“It felt more comfortable for me”). The survey only ever had the ANSWER; the PREFIX is report wording. The two parts are in separate columns so each can be compared with the right source. Rows that are a plain answer option or a legend item have no prefix.</t>
  </si>
  <si>
    <t>WHERE TODAY’S WELSH CAME FROM: the ANSWER part was copied from the approved bilingual survey (Framework sheet 23, status ATTESTED-SURVEY) wherever the report quotes a survey option. In most such rows column I equals column J. A few deliberate exceptions are flagged in column K because the current report shortens or groups the survey label. The PREFIX part was written by Industryline in code when the filter chips were built (welsh_render.py, decision D50 “derived — listed for the linguist”) and has never been checked by a Welsh speaker.</t>
  </si>
  <si>
    <t>THE QUESTION FOR THE TRANSLATOR: for the ANSWER or report-label part, choose the applicable wording in column O: the survey wording (I), today’s report wording (J), the document wording (L), or alternative wording in Q. For the PREFIX part, choose in P between today’s report wording (D), the document wording (F), or your wording in Q. Column N shows how many generated sentences quote the answer in the test school’s report; column M identifies its exact source in the translator’s document.</t>
  </si>
  <si>
    <t>COMPLETE: choose the answer/report-label wording in O on all 72 rows. Where P is yellow, choose the prefix wording too (44 rows). Use Q for alternative wording or uncertainty. If a source column shows “—”, choose from the options that apply.</t>
  </si>
  <si>
    <t>Type of label</t>
  </si>
  <si>
    <t>PREFIX — English in the report</t>
  </si>
  <si>
    <t>PREFIX — Welsh in the report today</t>
  </si>
  <si>
    <t>PREFIX — where today’s Welsh came from</t>
  </si>
  <si>
    <t>PREFIX — translator’s Welsh</t>
  </si>
  <si>
    <t>ANSWER — English in the report</t>
  </si>
  <si>
    <t>ANSWER — English in the survey instrument (and the question it answers)</t>
  </si>
  <si>
    <t>ANSWER — Welsh in the survey instrument (what pupils saw)</t>
  </si>
  <si>
    <t>ANSWER — Welsh in the report today</t>
  </si>
  <si>
    <t>ANSWER — where today’s Welsh came from</t>
  </si>
  <si>
    <t>ANSWER — translator’s Welsh (document 15 Sep 2026)</t>
  </si>
  <si>
    <t>Where it came from in the translator’s document</t>
  </si>
  <si>
    <t>Times the answer is quoted inside generated sentences (test school)</t>
  </si>
  <si>
    <t>Decision — ANSWER / report label (choose)</t>
  </si>
  <si>
    <t>Decision — PREFIX wording (choose)</t>
  </si>
  <si>
    <t>Filter label (report wording)</t>
  </si>
  <si>
    <t>Whole School</t>
  </si>
  <si>
    <t>— (not in the survey: report wording)</t>
  </si>
  <si>
    <t>Yr ysgol gyfan</t>
  </si>
  <si>
    <t>Report wording with no survey equivalent (our workbook, Framework sheet 23/28/43)</t>
  </si>
  <si>
    <t>Ysgol Gyfan</t>
  </si>
  <si>
    <t>Filters — a row of its own; the row reads “Whole School” → “Ysgol Gyfan”</t>
  </si>
  <si>
    <t>Keep today’s report wording</t>
  </si>
  <si>
    <t>All Respondents</t>
  </si>
  <si>
    <t>Pob disgybl</t>
  </si>
  <si>
    <t>Pob Ymatebwr</t>
  </si>
  <si>
    <t>Filter Panel — a row of its own; the row reads “All Respondents” → “Pob Ymatebwr”</t>
  </si>
  <si>
    <t>Use document wording</t>
  </si>
  <si>
    <t>Filter-group chip (prefix = report wording; answer = survey option)</t>
  </si>
  <si>
    <t>Disability or long-term condition</t>
  </si>
  <si>
    <t>Anabledd neu gyflwr tymor hir</t>
  </si>
  <si>
    <t>Written by Industryline in code when the filter chips were built (welsh_render.py COHORT_FRAME_CY, decision D50 “derived — listed for the linguist”). Not from the survey and not from the translator.</t>
  </si>
  <si>
    <t>Anabledd neu gyflwr hirdymor</t>
  </si>
  <si>
    <t>Yes</t>
  </si>
  <si>
    <t>“Yes” — an answer option to the question “Do you have a disability or long-term condition that often makes things harder?”</t>
  </si>
  <si>
    <t>Oes</t>
  </si>
  <si>
    <t>The survey (Framework sheet 23, status ATTESTED-SURVEY)</t>
  </si>
  <si>
    <t>Filter Panel — a row of its own; the row reads “Disability or long-term condition: Yes” → “Anabledd neu gyflwr hirdymor: Oes”</t>
  </si>
  <si>
    <t>Use survey wording</t>
  </si>
  <si>
    <t>Ethnically Diverse Background</t>
  </si>
  <si>
    <t>Cefndir ethnig amrywiol</t>
  </si>
  <si>
    <t>Cefndir Amrywiol yn Ethnig</t>
  </si>
  <si>
    <t>— (built from the ethnicity question; there was no Yes/No question in the survey)</t>
  </si>
  <si>
    <t>Ruling PR-11: this group has no survey question, so it is named rather than answered</t>
  </si>
  <si>
    <t>Filter Panel — a row of its own; the row reads “Ethnically Diverse Background: Yes” → “Cefndir Amrywiol yn Ethnig: Oes”</t>
  </si>
  <si>
    <t>Does sport</t>
  </si>
  <si>
    <t>Yn gwneud chwaraeon</t>
  </si>
  <si>
    <t>In PE or Lesson Time</t>
  </si>
  <si>
    <t>“In PE or Lesson Time” — an answer option to the question “WHERE do you usually do these activities?”</t>
  </si>
  <si>
    <t>Yn ystod Addysg Gorfforol neu Amser Gwersi</t>
  </si>
  <si>
    <t>Mewn AG neu amser gwersi</t>
  </si>
  <si>
    <t>Within report filtering — a row of its own; the row reads “Does sport: In PE or Lesson Time” → “Yn gwneud chwaraeon: Mewn AG neu amser gwersi”</t>
  </si>
  <si>
    <t>Estimated times active through sport each week</t>
  </si>
  <si>
    <t>Amcangyfrif o weithiau’n actif drwy chwaraeon bob wythnos</t>
  </si>
  <si>
    <t>Amcan o’r amser y mae’n actif drwy chwaraeon bob wythnos</t>
  </si>
  <si>
    <t>Within report filtering — a row of its own; the row reads “Estimated times active through sport each week: 1” → “Amcan o’r amser y mae’n actif drwy chwaraeon bob wythnos: 1”</t>
  </si>
  <si>
    <t>9+</t>
  </si>
  <si>
    <t>Within report filtering — a row of its own; the row reads “Estimated times active through sport each week: 9+” → “Amcan o’r amser y mae’n actif drwy chwaraeon bob wythnos: 9+”</t>
  </si>
  <si>
    <t>Estimated times active through club sport each week</t>
  </si>
  <si>
    <t>Amcangyfrif o weithiau’n actif drwy chwaraeon clwb bob wythnos</t>
  </si>
  <si>
    <t>No club sport reported</t>
  </si>
  <si>
    <t>Dim chwaraeon clwb wedi’u nodi</t>
  </si>
  <si>
    <t>Dim adroddiad am chwaraeon clwb</t>
  </si>
  <si>
    <t>Within report filtering — a row of its own; the row reads “Estimated times active through club sport each week: No club sport reported” → “Amcan o’r amser y mae’n actif drwy chwaraeon bob wythnos: Dim adroddiad am chwaraeon clwb”</t>
  </si>
  <si>
    <t>Takes part</t>
  </si>
  <si>
    <t>Cymryd rhan</t>
  </si>
  <si>
    <t>Yn cymryd rhan</t>
  </si>
  <si>
    <t>Standing</t>
  </si>
  <si>
    <t>“Standing” — an answer option to the question “How do you usually take part in sport?”</t>
  </si>
  <si>
    <t>Yn sefyll</t>
  </si>
  <si>
    <t>Sefyll</t>
  </si>
  <si>
    <t>Within report filtering — a row of its own; the row reads “Takes part: Standing” → “Yn cymryd rhan: Sefyll”</t>
  </si>
  <si>
    <t>Seated</t>
  </si>
  <si>
    <t>“Seated” — an answer option to the question “How do you usually take part in sport?”</t>
  </si>
  <si>
    <t>Yn eistedd</t>
  </si>
  <si>
    <t>Eistedd</t>
  </si>
  <si>
    <t>Within report filtering — a row of its own; the row reads “Takes part: Seated” → “Yn cymryd rhan: Eistedd”</t>
  </si>
  <si>
    <t>I’m not sure</t>
  </si>
  <si>
    <t>“I’m not sure” — an answer option to the question “How do you usually take part in sport?”</t>
  </si>
  <si>
    <t>Dydw i ddim yn siŵr</t>
  </si>
  <si>
    <t>Within report filtering — a row of its own; the row reads “Takes part: I’m not sure” → “Yn cymryd rhan: Dydw i ddim yn siŵr”</t>
  </si>
  <si>
    <t>Other</t>
  </si>
  <si>
    <t>“Other, please specify” — an answer option to the question “How do you usually take part in sport?”</t>
  </si>
  <si>
    <t>Arall, rho fanylion</t>
  </si>
  <si>
    <t>Arall</t>
  </si>
  <si>
    <t>The survey (Framework sheet 23, status ATTESTED-SURVEY) — NOTE: today’s Welsh is not the survey option</t>
  </si>
  <si>
    <t>Within report filtering — a row of its own; the row reads “Takes part: Other” → “Yn cymryd rhan: Arall”</t>
  </si>
  <si>
    <t>Values</t>
  </si>
  <si>
    <t>Yn gwerthfawrogi</t>
  </si>
  <si>
    <t>Gwerthoedd</t>
  </si>
  <si>
    <t>Having Fun</t>
  </si>
  <si>
    <t>“Having fun” — an answer option to the question “What is most important to you when you play sport?”</t>
  </si>
  <si>
    <t>Cael hwyl</t>
  </si>
  <si>
    <t>Within report filtering — a row of its own; the row reads “Values: Having Fun” → “Gwerthoedd: Cael hwyl”</t>
  </si>
  <si>
    <t>Having fun</t>
  </si>
  <si>
    <t>Improving my skills</t>
  </si>
  <si>
    <t>“Improving my skills” — an answer option to the question “What is most important to you when you play sport?”</t>
  </si>
  <si>
    <t>Gwella fy sgiliau</t>
  </si>
  <si>
    <t>Within report filtering — a row of its own; the row reads “Values: Improving my skills” → “Gwerthoedd: Gwella fy sgiliau”</t>
  </si>
  <si>
    <t>Feeling confident</t>
  </si>
  <si>
    <t>“Feeling confident” — an answer option to the question “What is most important to you when you play sport?”</t>
  </si>
  <si>
    <t>Teimlo'n hyderus</t>
  </si>
  <si>
    <t>Teimlo’n hyderus</t>
  </si>
  <si>
    <t>Within report filtering — a row of its own; the row reads “Values: Feeling confident” → “Gwerthoedd: Teimlo’n hyderus”</t>
  </si>
  <si>
    <t>Would do more sport if</t>
  </si>
  <si>
    <t>Byddai’n gwneud mwy o chwaraeon</t>
  </si>
  <si>
    <t>Byddai’n gwneud mwy o chwaraeon os</t>
  </si>
  <si>
    <t>There were more sports I liked</t>
  </si>
  <si>
    <t>“There were more sports I liked” — an answer option to the question “Finish this sentence by ticking the right options for you.”</t>
  </si>
  <si>
    <t>Pe bai mwy o chwaraeon rydw i'n eu hoffi</t>
  </si>
  <si>
    <t>Pe bai mwy o chwaraeon rydw i’n eu hoffi</t>
  </si>
  <si>
    <t>Roedd mwy o chwaraeon rydw i’n eu hoffi</t>
  </si>
  <si>
    <t>Within report filtering — a row of its own; the row reads “Would do more sport if: There were more sports I liked” → “Byddai’n gwneud mwy o chwaraeon os: Roedd mwy o chwaraeon rydw i’n eu hoffi”</t>
  </si>
  <si>
    <t>I felt more confident</t>
  </si>
  <si>
    <t>“I felt more confident” — an answer option to the question “Finish this sentence by ticking the right options for you.”</t>
  </si>
  <si>
    <t>Pe bawn i'n teimlo'n fwy hyderus</t>
  </si>
  <si>
    <t>Pe bawn i’n teimlo’n fwy hyderus</t>
  </si>
  <si>
    <t>Roeddwn i’n teimlo’n fwy hyderus</t>
  </si>
  <si>
    <t>Within report filtering — a row of its own; the row reads “Would do more sport if: I felt more confident” → “Byddai’n gwneud mwy o chwaraeon os: Roeddwn i’n teimlo’n fwy hyderus”</t>
  </si>
  <si>
    <t>It was easier to take part</t>
  </si>
  <si>
    <t>“It was easier to take part” — an answer option to the question “Finish this sentence by ticking the right options for you.”</t>
  </si>
  <si>
    <t>Pe bai'n haws cymryd rhan</t>
  </si>
  <si>
    <t>Pe bai’n haws cymryd rhan</t>
  </si>
  <si>
    <t>Roedd hi’n haws cymryd rhan</t>
  </si>
  <si>
    <t>Within report filtering — a row of its own; the row reads “Would do more sport if: It was easier to take part” → “Byddai’n gwneud mwy o chwaraeon os: Roedd hi’n haws cymryd rhan”</t>
  </si>
  <si>
    <t>I felt more motivated</t>
  </si>
  <si>
    <t>“If I felt more motivated” — an answer option to the question “Finish this sentence by ticking the right options for you.”</t>
  </si>
  <si>
    <t>Pe bawn i'n teimlo mwy o gymhelliant</t>
  </si>
  <si>
    <t>Pe bawn i’n teimlo mwy o gymhelliant</t>
  </si>
  <si>
    <t>Roeddwn i’n teimlo mwy o symbyliad</t>
  </si>
  <si>
    <t>Within report filtering — a row of its own; the row reads “Would do more sport if: I felt more motivated” → “Byddai’n gwneud mwy o chwaraeon os: Roeddwn i’n teimlo mwy o symbyliad”</t>
  </si>
  <si>
    <t>It felt more comfortable for me</t>
  </si>
  <si>
    <t>“It felt more comfortable for me” — an answer option to the question “Finish this sentence by ticking the right options for you.”</t>
  </si>
  <si>
    <t>Pe bai'n teimlo'n fwy cyfforddus i mi</t>
  </si>
  <si>
    <t>Pe bai’n teimlo’n fwy cyfforddus i mi</t>
  </si>
  <si>
    <t>Roedd yn teimlo’n fwy cyfforddus i fi</t>
  </si>
  <si>
    <t>Within report filtering — a row of its own; the row reads “Would do more sport if: It felt more comfortable for me” → “Byddai’n gwneud mwy o chwaraeon os: Roedd yn teimlo’n fwy cyfforddus i fi”</t>
  </si>
  <si>
    <t>I had what I need or it cost less</t>
  </si>
  <si>
    <t>“If I had what I need or it cost less” — an answer option to the question “Finish this sentence by ticking the right options for you.”</t>
  </si>
  <si>
    <t>Pe bai gen i'r hyn sydd ei angen neu pe bai’n costio llai</t>
  </si>
  <si>
    <t>Pe bai gen i’r hyn sydd ei angen neu pe bai’n costio llai</t>
  </si>
  <si>
    <t>Roedd gen i beth roedd ei angen arna’ i neu</t>
  </si>
  <si>
    <t>Within report filtering — a row of its own; the row reads “Would do more sport if: I had what I need or it cost less” → “Byddai’n gwneud mwy o chwaraeon os: Roedd gen i beth roedd ei angen arna’ i neu roedd yn costio llai”</t>
  </si>
  <si>
    <t>Within report filtering — a row of its own; the row reads “Would do more sport if: Other” → “Byddai’n gwneud mwy o chwaraeon os: Arall”</t>
  </si>
  <si>
    <t>Enjoys PE</t>
  </si>
  <si>
    <t>Mwynhau AG</t>
  </si>
  <si>
    <t>Yn Mwynhau Addysg Gorfforol</t>
  </si>
  <si>
    <t>A lot</t>
  </si>
  <si>
    <t>“A lot” — an answer option to the question “How much do you enjoy doing sport in each of these places?”</t>
  </si>
  <si>
    <t>Llawer</t>
  </si>
  <si>
    <t>Within report filtering — a row of its own; the row reads “Enjoys PE: A lot” → “Yn Mwynhau Addysg Gorfforol: Llawer”</t>
  </si>
  <si>
    <t>A little</t>
  </si>
  <si>
    <t>“A little” — an answer option to the question “How much do you enjoy doing sport in each of these places?”</t>
  </si>
  <si>
    <t>Ychydig</t>
  </si>
  <si>
    <t>Within report filtering — a row of its own; the row reads “Enjoys PE: A little” → “Yn Mwynhau Addysg Gorfforol: Ychydig”</t>
  </si>
  <si>
    <t>Not Much</t>
  </si>
  <si>
    <t>“Not Much” — an answer option to the question “How much do you enjoy doing sport in each of these places?”</t>
  </si>
  <si>
    <t>Dim Llawer</t>
  </si>
  <si>
    <t>Ddim llawer</t>
  </si>
  <si>
    <t>Within report filtering — a row of its own; the row reads “Enjoys PE: Not Much” → “Yn Mwynhau Addysg Gorfforol: Ddim llawer”</t>
  </si>
  <si>
    <t>Not at all</t>
  </si>
  <si>
    <t>“Not at all” — an answer option to the question “How much do you enjoy doing sport in each of these places?”</t>
  </si>
  <si>
    <t>Dim o gwbl</t>
  </si>
  <si>
    <t>Ddim o gwbl</t>
  </si>
  <si>
    <t>Within report filtering — a row of its own; the row reads “Enjoys PE: Not at all” → “Yn Mwynhau Addysg Gorfforol: Ddim o gwbl”</t>
  </si>
  <si>
    <t>Not sure</t>
  </si>
  <si>
    <t>“Not sure” — an answer option to the question “Do you have a disability or long-term condition that often makes things harder?”</t>
  </si>
  <si>
    <t>Ddim yn siŵr</t>
  </si>
  <si>
    <t>Within report filtering — a row of its own; the row reads “Enjoys PE: Not sure” → “Yn Mwynhau Addysg Gorfforol: Ddim yn siŵr”</t>
  </si>
  <si>
    <t>Enjoys School Sports Clubs</t>
  </si>
  <si>
    <t>Mwynhau clybiau chwaraeon ysgol</t>
  </si>
  <si>
    <t>Yn Mwynhau Clybiau Chwaraeon Ysgol</t>
  </si>
  <si>
    <t>Within report filtering — a row of its own; the row reads “Enjoys School Sports Clubs: A lot” → “Yn Mwynhau Clybiau Chwaraeon Ysgol: Llawer”</t>
  </si>
  <si>
    <t>Within report filtering — a row of its own; the row reads “Enjoys School Sports Clubs: A little” → “Yn Mwynhau Clybiau Chwaraeon Ysgol: Ychydig”</t>
  </si>
  <si>
    <t>Within report filtering — a row of its own; the row reads “Enjoys School Sports Clubs: Not Much” → “Yn Mwynhau Clybiau Chwaraeon Ysgol: Ddim llawer”</t>
  </si>
  <si>
    <t>Within report filtering — a row of its own; the row reads “Enjoys School Sports Clubs: Not at all” → “Yn Mwynhau Clybiau Chwaraeon Ysgol: Ddim o gwbl”</t>
  </si>
  <si>
    <t>Within report filtering — a row of its own; the row reads “Enjoys School Sports Clubs: Not sure” → “Yn Mwynhau Clybiau Chwaraeon Ysgol: Ddim yn siŵr”</t>
  </si>
  <si>
    <t>Enjoys other settings</t>
  </si>
  <si>
    <t>Mwynhau lleoliadau eraill</t>
  </si>
  <si>
    <t>Yn mwynhau lleoliadau eraill</t>
  </si>
  <si>
    <t>Within report filtering — a row of its own; the row reads “Enjoys other settings: A lot” → “Yn mwynhau lleoliadau eraill: Llawer”</t>
  </si>
  <si>
    <t>Within report filtering — a row of its own; the row reads “Enjoys other settings: A little” → “Yn mwynhau lleoliadau eraill: Ychydig”</t>
  </si>
  <si>
    <t>Within report filtering — a row of its own; the row reads “Enjoys other settings: Not Much” → “Yn mwynhau lleoliadau eraill: Ddim llawer”</t>
  </si>
  <si>
    <t>Within report filtering — a row of its own; the row reads “Enjoys other settings:  Not at all” → “Yn mwynhau lleoliadau eraill:  Ddim o gwbl”</t>
  </si>
  <si>
    <t>Within report filtering — a row of its own; the row reads “Enjoys other settings:  Not sure” → “Yn mwynhau lleoliadau eraill:  Ddim yn siŵr”</t>
  </si>
  <si>
    <t>Ideas listened to</t>
  </si>
  <si>
    <t>Gwrando ar syniadau</t>
  </si>
  <si>
    <t>Mae athrawon yn gwrando ar eu syniadau</t>
  </si>
  <si>
    <t>Always</t>
  </si>
  <si>
    <t>“Always” — an answer option to the question “Do you feel your ideas about sport are listened to by teachers at your school?”</t>
  </si>
  <si>
    <t>Bob amser</t>
  </si>
  <si>
    <t>Within report filtering — a row of its own; the row reads “Ideas listened to: Always” → “Mae athrawon yn gwrando ar eu syniadau: Bob amser”</t>
  </si>
  <si>
    <t>Sometimes</t>
  </si>
  <si>
    <t>“Sometimes” — an answer option to the question “Do you feel your ideas about sport are listened to by teachers at your school?”</t>
  </si>
  <si>
    <t>Weithiau</t>
  </si>
  <si>
    <t>Within report filtering — a row of its own; the row reads “Ideas listened to: Sometimes” → “Mae athrawon yn gwrando ar eu syniadau: Weithiau”</t>
  </si>
  <si>
    <t>Not often</t>
  </si>
  <si>
    <t>“Not often” — an answer option to the question “Do you feel your ideas about sport are listened to by teachers at your school?”</t>
  </si>
  <si>
    <t>Ddim yn aml</t>
  </si>
  <si>
    <t>Within report filtering — a row of its own; the row reads “Ideas listened to: Not often” → “Mae athrawon yn gwrando ar eu syniadau: Ddim yn aml”</t>
  </si>
  <si>
    <t>Never</t>
  </si>
  <si>
    <t>“Never” — an answer option to the question “Do you feel you can join in with sports and games easily?”</t>
  </si>
  <si>
    <t>Byth</t>
  </si>
  <si>
    <t>Within report filtering — a row of its own; the row reads “Ideas listened to: Never” → “Mae athrawon yn gwrando ar eu syniadau: Byth”</t>
  </si>
  <si>
    <t>Confidence trying a new sport</t>
  </si>
  <si>
    <t>Hyder i roi cynnig ar gamp newydd</t>
  </si>
  <si>
    <t>Within report filtering — a row of its own; the row reads “Confidence trying a new sport: Not at all” → “Hyder i roi cynnig ar gamp newydd: Ddim o gwbl”</t>
  </si>
  <si>
    <t>Confidence learning a new skill</t>
  </si>
  <si>
    <t>Hyder i ddysgu sgil newydd</t>
  </si>
  <si>
    <t>Within report filtering — a row of its own; the row reads “Confidence learning a new skill: Not at all” → “Hyder i ddysgu sgil newydd: Ddim o gwbl”</t>
  </si>
  <si>
    <t>Confidence trying again when sport is hard</t>
  </si>
  <si>
    <t>Hyder i roi cynnig arall arni pan fydd camp yn anodd</t>
  </si>
  <si>
    <t>Within report filtering — a row of its own; the row reads “Confidence trying again when sport is hard: Not at all” → “Hyder i roi cynnig arall arni pan fydd camp yn anodd: Ddim o gwbl”</t>
  </si>
  <si>
    <t>Answer option (chart label; quoted inside sentences)</t>
  </si>
  <si>
    <t>Prefer not to say</t>
  </si>
  <si>
    <t>“Prefer not to say” — an answer option to the question “I am...”</t>
  </si>
  <si>
    <t>Mae'n well gen i beidio â dweud</t>
  </si>
  <si>
    <t>Mae’n well gen i beidio â dweud</t>
  </si>
  <si>
    <t>Mae’n well gennyf beidio â dweud</t>
  </si>
  <si>
    <t>Your School — a row of its own; the row reads “Prefer not to say” → “Mae’n well gennyf beidio â dweud”</t>
  </si>
  <si>
    <t>Your School — line 1 of a list of 4 answer options; the list begins “Yes …”</t>
  </si>
  <si>
    <t>No</t>
  </si>
  <si>
    <t>Heb fod o gefndir ethnig amrywiol</t>
  </si>
  <si>
    <t>Nac oes</t>
  </si>
  <si>
    <t>Your School — line 2 of a list of 4 answer options; the list begins “Yes …”</t>
  </si>
  <si>
    <t>White Welsh, English, Scottish, Northern Irish, or British</t>
  </si>
  <si>
    <t>Gwyn</t>
  </si>
  <si>
    <t>Gwyn Cymreig, Saesneg, Albanaidd, Gwyddel Gwyn o Ogledd Iwerddon, neu Wyn Brydei</t>
  </si>
  <si>
    <t>Your School — line 1 of a list of 7 answer options; the list begins “White Welsh, English, Scottish, Northern Irish, or British…”</t>
  </si>
  <si>
    <t>Mixed or multiple ethnic groups</t>
  </si>
  <si>
    <t>“Mixed or multiple ethnic groups” — an answer option to the question “Which is your ethnic group?”</t>
  </si>
  <si>
    <t>Grwpiau ethnig cymysg neu luosog</t>
  </si>
  <si>
    <t>Grwpiau ethnig cymysg neu aml-ethnig</t>
  </si>
  <si>
    <t>Your School — line 2 of a list of 7 answer options; the list begins “White Welsh, English, Scottish, Northern Irish, or British…”</t>
  </si>
  <si>
    <t>Ethnicity</t>
  </si>
  <si>
    <t>Ethnigrwydd</t>
  </si>
  <si>
    <t>Asiaidd, Asiaidd Cymreig, neu Asiaidd Prydeinig</t>
  </si>
  <si>
    <t>Asian, Asian Welsh, or Asian British</t>
  </si>
  <si>
    <t>“Asian, Asian Welsh, or Asian British” — an answer option to the question “Which is your ethnic group?”</t>
  </si>
  <si>
    <t>Your School — line 3 of a list of 7 answer options; the list begins “White Welsh, English, Scottish, Northern Irish, or British…”</t>
  </si>
  <si>
    <t>Other ethnic groups (for example, Arab)</t>
  </si>
  <si>
    <t>“Other ethnic groups [for example Arab]” — an answer option to the question “Which is your ethnic group?”</t>
  </si>
  <si>
    <t>Grwpiau ethnig eraill [er enghraifft Arabaidd]</t>
  </si>
  <si>
    <t>Grwpiau ethnig eraill (er enghraifft, Arabaidd)</t>
  </si>
  <si>
    <t>Your School — line 5 of a list of 7 answer options; the list begins “White Welsh, English, Scottish, Northern Irish, or British…”</t>
  </si>
  <si>
    <t>“I’m not sure” — an answer option to the question “Which is your ethnic group?”</t>
  </si>
  <si>
    <t>Your School — line 6 of a list of 7 answer options; the list begins “White Welsh, English, Scottish, Northern Irish, or British…”</t>
  </si>
  <si>
    <t>Less than once per week</t>
  </si>
  <si>
    <t>“Less than once a week” — an answer option to the question “You said you do these sports in a school club.”</t>
  </si>
  <si>
    <t>Llai nag unwaith yr wythnos</t>
  </si>
  <si>
    <t>An Active Nation for Everyone — line 2 of a list of 7 answer options; the list begins “Sport …”</t>
  </si>
  <si>
    <t>1 time a week</t>
  </si>
  <si>
    <t>“1 time a week” — an answer option to the question “You said you do these sports in a school club.”</t>
  </si>
  <si>
    <t>1 waith yr wythnos</t>
  </si>
  <si>
    <t>Unwaith yr wythnos</t>
  </si>
  <si>
    <t>An Active Nation for Everyone — line 3 of a list of 7 answer options; the list begins “Sport …”</t>
  </si>
  <si>
    <t>2 times a week</t>
  </si>
  <si>
    <t>“2 times a week” — an answer option to the question “You said you do these sports in a school club.”</t>
  </si>
  <si>
    <t>2 waith yr wythnos</t>
  </si>
  <si>
    <t>Dwywaith yr wythnos</t>
  </si>
  <si>
    <t>An Active Nation for Everyone — line 4 of a list of 7 answer options; the list begins “Sport …”</t>
  </si>
  <si>
    <t>Chart legend (survey answer options)</t>
  </si>
  <si>
    <t>3 or more times a week</t>
  </si>
  <si>
    <t>“Three or more times a week” — an answer option to the question “You said you do these sports in a school club.”</t>
  </si>
  <si>
    <t>Tair gwaith neu fwy yr wythnos</t>
  </si>
  <si>
    <t>3 gwaith neu fwy yr wythnos</t>
  </si>
  <si>
    <t>An Active Nation for Everyone — line 5 of a list of 7 answer options; the list begins “Sport …”</t>
  </si>
  <si>
    <t>I don’t know</t>
  </si>
  <si>
    <t>“I don’t know” — an answer option to the question “You said you do these sports in a school club.”</t>
  </si>
  <si>
    <t>Dydw i ddim yn gwybod</t>
  </si>
  <si>
    <t>Ddim yn gwybod</t>
  </si>
  <si>
    <t>An Active Nation for Everyone — line 6 of a list of 7 answer options; the list begins “Sport …”</t>
  </si>
  <si>
    <t>An Active Nation for Everyone — line 1 of a list of 6 answer options; the list begins “Standing …”</t>
  </si>
  <si>
    <t>An Active Nation for Everyone — line 2 of a list of 6 answer options; the list begins “Standing …”</t>
  </si>
  <si>
    <t>Very</t>
  </si>
  <si>
    <t>“Very” — an answer option to the question “Do PE and Active Lessons make you feel…”</t>
  </si>
  <si>
    <t>Yn iach/hyderus iawn/yn barod iawn i ddysgu</t>
  </si>
  <si>
    <t>A Lifelong Enjoyment of Sport — line 1 of a list of 4 answer options; the list begins “Very …”</t>
  </si>
  <si>
    <t>Quite</t>
  </si>
  <si>
    <t>“Quite” — an answer option to the question “Do PE and Active Lessons make you feel…”</t>
  </si>
  <si>
    <t>Eithaf</t>
  </si>
  <si>
    <t>Yn eithaf iach/hyderus/yn eithaf parod i ddysgu</t>
  </si>
  <si>
    <t>A Lifelong Enjoyment of Sport — line 2 of a list of 4 answer options; the list begins “Very …”</t>
  </si>
  <si>
    <t>Not Very</t>
  </si>
  <si>
    <t>“Not very” — an answer option to the question “Do PE and Active Lessons make you feel…”</t>
  </si>
  <si>
    <t>Dim llawer</t>
  </si>
  <si>
    <t>Ddim yn iach/hyderus iawn/ddim yn barod iawn i ddysgu</t>
  </si>
  <si>
    <t>A Lifelong Enjoyment of Sport — line 3 of a list of 4 answer options; the list begins “Very …”</t>
  </si>
  <si>
    <t>A Lifelong Enjoyment of Sport — line 4 of a list of 4 answer options; the list begins “Very …”</t>
  </si>
  <si>
    <t>A Lifelong Enjoyment of Sport — line 1 of a list of 8 answer options; the list begins “There were more sports I liked	…”</t>
  </si>
  <si>
    <t>A Lifelong Enjoyment of Sport — line 2 of a list of 8 answer options; the list begins “There were more sports I liked	…”</t>
  </si>
  <si>
    <t>A Lifelong Enjoyment of Sport — line 3 of a list of 8 answer options; the list begins “There were more sports I liked	…”</t>
  </si>
  <si>
    <t>A Lifelong Enjoyment of Sport — line 4 of a list of 8 answer options; the list begins “There were more sports I liked	…”</t>
  </si>
  <si>
    <t>A Lifelong Enjoyment of Sport — line 5 of a list of 8 answer options; the list begins “There were more sports I liked	…”</t>
  </si>
  <si>
    <t>Roedd gen i beth roedd ei angen arna’ i neu roedd yn costio llai</t>
  </si>
  <si>
    <t>A Lifelong Enjoyment of Sport — line 6 of a list of 8 answer options; the list begins “There were more sports I liked	…”</t>
  </si>
  <si>
    <t>Not much</t>
  </si>
  <si>
    <t>A Lifelong Enjoyment of Sport — line 3 of a list of 5 answer options; the list begins “A lot …”</t>
  </si>
  <si>
    <t>Not very</t>
  </si>
  <si>
    <t>Ddim yn hyderus iawn</t>
  </si>
  <si>
    <t>Summary: 72 rows; 63 answers have a survey equivalent and on 60 of them today’s Welsh is exactly the survey’s (3 differ — red in column K); 44 rows carry a report-written prefix; 47 answers are quoted inside generated sentences (238,504 occurrences in the test school).</t>
  </si>
  <si>
    <t>Sheet 3 — Translate the page text that has no Welsh yet (56 rows)</t>
  </si>
  <si>
    <t>WHAT THIS IS: short pieces of the report that still show English in the Welsh version — headings, labels, notes, two data-protection messages and three labels for a new accessibility switch. Where the English contains a placeholder in curly braces, {n} or {school}, the software replaces it with a number or name; please keep the placeholder exactly as it is, in the place where Welsh word order needs it.</t>
  </si>
  <si>
    <t>WHAT TO DO: write the Welsh in column E (yellow). Column B says where the text appears and column D gives any notes (placeholders, length, a term to match). Use column F for comments.</t>
  </si>
  <si>
    <t>Three rows that were on the earlier list (the alternative text for the three ‘Brain Break’ character images) have been removed — the images are being changed.</t>
  </si>
  <si>
    <t>COMPLETE EVERY YELLOW CELL IN E: provide the full Welsh text, including every placeholder exactly as shown. If you are uncertain, provide your best version and explain the point in F.</t>
  </si>
  <si>
    <t>English</t>
  </si>
  <si>
    <t>Notes</t>
  </si>
  <si>
    <t>Your Welsh</t>
  </si>
  <si>
    <t>Page text</t>
  </si>
  <si>
    <t>ui005</t>
  </si>
  <si>
    <t>The cover page — the line above the school’s name.</t>
  </si>
  <si>
    <t>Interactive Learning Report:</t>
  </si>
  <si>
    <t>Adroddiad Dysgu Rhyngweithiol:</t>
  </si>
  <si>
    <t>ui183</t>
  </si>
  <si>
    <t>The footer line at the bottom of every page, and the print footer.</t>
  </si>
  <si>
    <t>School Sport Survey 2026</t>
  </si>
  <si>
    <t>Arolwg Chwaraeon Ysgol 2026</t>
  </si>
  <si>
    <t>ui032</t>
  </si>
  <si>
    <t>Guide page (“How to use this report”) — the sentence under the heading.</t>
  </si>
  <si>
    <t>Everything you need to read this report with confidence — select a question to see its answer.</t>
  </si>
  <si>
    <t>Popeth y mae angen i chi ddarllen yr adroddiad hwn yn hyderus — dewiswch gwestiwn i weld ei ateb.</t>
  </si>
  <si>
    <t>ui186</t>
  </si>
  <si>
    <t>A small label (“kicker”) above the “Next steps” section heading.</t>
  </si>
  <si>
    <t>Next steps</t>
  </si>
  <si>
    <t>One or two words.</t>
  </si>
  <si>
    <t>Camau nesaf</t>
  </si>
  <si>
    <t>ui187</t>
  </si>
  <si>
    <t>The heading of the “Next steps” section.</t>
  </si>
  <si>
    <t>What your findings may help you explore</t>
  </si>
  <si>
    <t>Beth gallai eich canfyddiadau eich helpu i'w archwilio</t>
  </si>
  <si>
    <t>ui188</t>
  </si>
  <si>
    <t>A small label above the “Thank you” section heading.</t>
  </si>
  <si>
    <t>Thank you</t>
  </si>
  <si>
    <t>Diolch</t>
  </si>
  <si>
    <t>ui189</t>
  </si>
  <si>
    <t>The heading of the “Thank you” section.</t>
  </si>
  <si>
    <t>Thank you and next steps</t>
  </si>
  <si>
    <t>Diolch a cammau nesaf</t>
  </si>
  <si>
    <t>ui195</t>
  </si>
  <si>
    <t>A small label above the Appendix section heading.</t>
  </si>
  <si>
    <t>Appendices</t>
  </si>
  <si>
    <t>One word.</t>
  </si>
  <si>
    <t>Atodiadau</t>
  </si>
  <si>
    <t>ui200</t>
  </si>
  <si>
    <t>The label of the collapsible technical record at the end of the appendix.</t>
  </si>
  <si>
    <t>Technical report record</t>
  </si>
  <si>
    <t>Cofnod adroddiad technegol</t>
  </si>
  <si>
    <t>ui225</t>
  </si>
  <si>
    <t>The label above the written explanation under a table (“What is this table showing?”). The chart version (“What is this chart showing?”) is already translated: “Beth mae’r siart hon yn ei ddangos?”</t>
  </si>
  <si>
    <t>What is this table showing?</t>
  </si>
  <si>
    <t>Please match the chart version.</t>
  </si>
  <si>
    <t>Beth mae'r tabl hwn yn ei ddangos?</t>
  </si>
  <si>
    <t>ui226</t>
  </si>
  <si>
    <t>The label above the written explanation under a pair of charts.</t>
  </si>
  <si>
    <t>What are these charts showing?</t>
  </si>
  <si>
    <t>Please match ui225.</t>
  </si>
  <si>
    <t>Beth mae'r siartiau hyn yn ei ddangos?</t>
  </si>
  <si>
    <t>ui227</t>
  </si>
  <si>
    <t>The label above the written explanation under a section.</t>
  </si>
  <si>
    <t>What is this section showing?</t>
  </si>
  <si>
    <t>Beth mae'r adran hon yn ei ddangos?</t>
  </si>
  <si>
    <t>ui228</t>
  </si>
  <si>
    <t>A sub-heading inside an explanation: the part of the explanation that goes year by year.</t>
  </si>
  <si>
    <t>By year</t>
  </si>
  <si>
    <t>Two words.</t>
  </si>
  <si>
    <t>Wrth flwyddyn</t>
  </si>
  <si>
    <t>ui230</t>
  </si>
  <si>
    <t>A note under the stacked chart of sports and how often pupils do them.</t>
  </si>
  <si>
    <t>Each pupil is counted once per sport, at the highest frequency they reported for it in any setting.</t>
  </si>
  <si>
    <t>Mae pob disgybyl yn cael ei gyfrif unwaith fesul camp, yn ol yr amylder uchaf a adroddasant mewn unrhyw leoliad.</t>
  </si>
  <si>
    <t>ui247</t>
  </si>
  <si>
    <t>A chart heading naming the “Somewhere Else” setting, with its explanation in brackets. The survey answer option is “Rhywle arall”.</t>
  </si>
  <si>
    <t>Somewhere Else (such as the Park, Beach or Garden)</t>
  </si>
  <si>
    <t>Keep “Rhywle arall” for “Somewhere Else”.</t>
  </si>
  <si>
    <t xml:space="preserve">Rhywle arall (megis y Parc, Traeth neu Ardd) </t>
  </si>
  <si>
    <t>ui004</t>
  </si>
  <si>
    <t>A short button label used on narrow screens (phones) instead of “Clear all filters”, which is already translated as “Clirio pob hidlydd”.</t>
  </si>
  <si>
    <t>Clear</t>
  </si>
  <si>
    <t>Keep it short — it is one small button.</t>
  </si>
  <si>
    <t>Clirio</t>
  </si>
  <si>
    <t>ui000</t>
  </si>
  <si>
    <t>A hidden link at the very top of the page, read out by screen readers (“Skip to report”).</t>
  </si>
  <si>
    <t>Skip to report</t>
  </si>
  <si>
    <t>Neidio i'r adroddiad</t>
  </si>
  <si>
    <t>ui054</t>
  </si>
  <si>
    <t>Guide page — an EXAMPLE of the “You are viewing” banner, showing what it looks like when filters are on. The words are an illustration, not live data.</t>
  </si>
  <si>
    <t>Year 5 · Boys · Selected Football</t>
  </si>
  <si>
    <t>“Year 5”, “Boys” and “Football” are examples; translate them as they appear elsewhere (Blwyddyn 5 · Bechgyn · Wedi dewis Pêl droed). The “·” separators stay.</t>
  </si>
  <si>
    <t>"Blwyddyn 5" "Bechgyn" "Wedi dewis Pêl droed"</t>
  </si>
  <si>
    <t>ui055</t>
  </si>
  <si>
    <t>Guide page — the second line of the same example banner.</t>
  </si>
  <si>
    <t>7 pupil responses included</t>
  </si>
  <si>
    <t>“7” stays as a figure.</t>
  </si>
  <si>
    <t>7 ymateb disgybl wedi'i gynnwys</t>
  </si>
  <si>
    <t>ui001</t>
  </si>
  <si>
    <t>A yellow banner shown only on internal review copies of the report — never on a school’s copy.</t>
  </si>
  <si>
    <t>REVIEW BUILD — for Sport Wales and ILR review only, not for schools. Provisional measures and open decisions are marked; sensitive chart-derived filtering is enabled for evaluation and is subject to disclosure sign-off (O09/O10).</t>
  </si>
  <si>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</si>
  <si>
    <t>ui185</t>
  </si>
  <si>
    <t>A note shown only on internal review copies (about provisional summary wording).</t>
  </si>
  <si>
    <t>Provisional — summary wording parked under decision D22 until the measures and interactions are signed off.</t>
  </si>
  <si>
    <t>Dros Dro — geiriad y crynodeb wedi'i osod o dan benderfyniad D22 nes bod y mesurau a'r rhyngweithiadau wedi'u cymeradwyo.</t>
  </si>
  <si>
    <t>Chart headings, group names and footnotes</t>
  </si>
  <si>
    <t>dl_combined</t>
  </si>
  <si>
    <t>The name of a filter group in the “Pupil group” dropdown (pupils who said yes to either the disability question or the learning-difficulty question).</t>
  </si>
  <si>
    <t>Pupils with a disability and/or learning difficulty</t>
  </si>
  <si>
    <t>Disgyblion gyda anabledd neu/ac anhawster dysgu</t>
  </si>
  <si>
    <t>ed_combined</t>
  </si>
  <si>
    <t>The name of a filter group in the “Pupil group” dropdown.</t>
  </si>
  <si>
    <t>Ethnically diverse background (combined filter group)</t>
  </si>
  <si>
    <t>“(combined filter group)” explains that it is built from the ethnicity question; keep a short bracketed note.</t>
  </si>
  <si>
    <t>Cefndir ethnig amrywiol (grŵp hidlo cyfun)</t>
  </si>
  <si>
    <t>ws_combined</t>
  </si>
  <si>
    <t>The name of a filter group in the “Pupil group” dropdown (pupils who said they speak Welsh very well, a fair amount or a little).</t>
  </si>
  <si>
    <t>Speaks Welsh (combined filter group)</t>
  </si>
  <si>
    <t>Yn siarad Cymraeg  (grŵp hidlo cyfun)</t>
  </si>
  <si>
    <t>settings_dl</t>
  </si>
  <si>
    <t>A chart heading in the disability section.</t>
  </si>
  <si>
    <t>Where are our pupils with a disability and/or learning difficulty active through sport?</t>
  </si>
  <si>
    <t>Ble mae ein disgyblion sydd ag anabledd a/neu anawsterau dysgu yn cymryd rhan mewn chwaraeon?</t>
  </si>
  <si>
    <t>settings_dy</t>
  </si>
  <si>
    <t>A chart heading (the group shown in the chart).</t>
  </si>
  <si>
    <t>Pupils with a disability or long-term condition</t>
  </si>
  <si>
    <t>Please use the same term for “long-term condition” as you choose on sheet 2 (row disability_condition).</t>
  </si>
  <si>
    <t>Disgyblion ag anabledd neu gyflwr hirdymor</t>
  </si>
  <si>
    <t>settings_ly</t>
  </si>
  <si>
    <t>Pupils with a learning difficulty</t>
  </si>
  <si>
    <t>Disgyblion gyda anhawster dysgu</t>
  </si>
  <si>
    <t>responses_by_gender_base_note</t>
  </si>
  <si>
    <t>A footnote under the chart “How many pupils responded?” (by gender).</t>
  </si>
  <si>
    <t>Every response option is shown, including options selected by no pupils, so the bars sum exactly to the base.</t>
  </si>
  <si>
    <t>Dangosir pob opsiwn ymateb, gan gynnwys opsiynau na chafodd eu dewis gan unrhyw ddisgyblion, fel bod cyfanswm y bariau yn cyfateb yn union i'r gwerth sylfaenol.</t>
  </si>
  <si>
    <t>ethnicity_group_base_note</t>
  </si>
  <si>
    <t>A footnote under the ethnicity table.</t>
  </si>
  <si>
    <t>Categories selected by fewer than five respondents across the whole school are combined into "Other ethnic groups" to protect individual pupils.</t>
  </si>
  <si>
    <t>“Other ethnic groups” is the survey’s answer option: “Grwpiau ethnig eraill”.</t>
  </si>
  <si>
    <t>Mae categorïau a ddewiswyd gan lai na phump o ymatebwyr ar draws yr ysgol gyfan yn cael eu cyfuno o dan "Grwpiau ethnig eraill" er mwyn diogelu disgyblion unigol.</t>
  </si>
  <si>
    <t>Discussion questions for schools</t>
  </si>
  <si>
    <t>h2_generic_reflect</t>
  </si>
  <si>
    <t>One of the discussion questions offered to the school at the end of a chapter (“What your findings may help you explore”).</t>
  </si>
  <si>
    <t>Which findings match what you see day to day, and which are surprising?</t>
  </si>
  <si>
    <t>Pa ganfyddiadau sy'n cyfateb i'r hyn a welwch o ddydd i ddydd, ac sy'n syndod?</t>
  </si>
  <si>
    <t>h2_generic_discussion</t>
  </si>
  <si>
    <t>Another discussion question at the end of a chapter.</t>
  </si>
  <si>
    <t>Could further pupil discussion help explain these findings before provision changes are planned?</t>
  </si>
  <si>
    <t>A allai trafodaeth bellach â disgyblion helpu i egluro'r canfyddiadau hyn cyn cynllunio'r newidiadau i'r ddarpariaeth?</t>
  </si>
  <si>
    <t>Sentences with placeholders (keep the {…} parts exactly)</t>
  </si>
  <si>
    <t>ui.chart_sports_total_club</t>
  </si>
  <si>
    <t>The note under the chart of sports done in a school sports club. The same sentence for PE lessons is already translated (see the row above it in the workbook).</t>
  </si>
  <si>
    <t>This bar chart shows the most common 10 sports pupils said they did in a School Sports Club, and how often pupils said they usually do them. There were a total of {n} sports to choose from. Click on the ‘View Data Table’ to see the full results.</t>
  </si>
  <si>
    <t>{n} is replaced by a number (the number of sports in the list). Keep {n} exactly as it is.</t>
  </si>
  <si>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</si>
  <si>
    <t>ui.chart_sports_total_community</t>
  </si>
  <si>
    <t>The note under the chart of sports done in a club outside of school.</t>
  </si>
  <si>
    <t>This bar chart shows the most common 10 sports pupils said they did in a Club Outside of School, and how often pupils said they usually do them. There were a total of {n} sports to choose from. Click on the ‘View Data Table’ to see the full results.</t>
  </si>
  <si>
    <t>Keep {n} exactly.</t>
  </si>
  <si>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</si>
  <si>
    <t>ui.chart_sports_total_other</t>
  </si>
  <si>
    <t>The note under the chart of sports done somewhere else.</t>
  </si>
  <si>
    <t>This bar chart shows the most common 10 sports pupils said they did Somewhere Else, and how often pupils said they usually do them. There were a total of {n} sports to choose from. Click on the ‘View Data Table’ to see the full results.</t>
  </si>
  <si>
    <t>Mae'r siart bar hwn yn dangos y 10 camp fwyaf cyffredin y dywedodd disgyblion eu bod yn eu gwneud 'Rhywle Arall', a pha mor aml y dywedasant eu bod fel arfer yn eu gwneud. Roedd cyfanswm o {n} camp i ddewis ohonynt. Cliciwch ar ‘Gweld y Tabl Data’ i weld y canlyniadau llawn.</t>
  </si>
  <si>
    <t>ui.doc_title</t>
  </si>
  <si>
    <t>The title shown on the browser tab.</t>
  </si>
  <si>
    <t>Interactive Learning Report — {school}</t>
  </si>
  <si>
    <t>{school} is replaced by the school’s name. Keep {school} exactly.</t>
  </si>
  <si>
    <t>Adroddiad Dysgu Rhyngweithiol — {school}</t>
  </si>
  <si>
    <t>ui.fsm_context_title</t>
  </si>
  <si>
    <t>The title of the small card about Free School Meals on the “Who took part” page. (Sport Wales may still change the English of this card; please translate what is here.)</t>
  </si>
  <si>
    <t>Free school meals context</t>
  </si>
  <si>
    <t>Cyd-destun prydau ysgol am ddim</t>
  </si>
  <si>
    <t>ui.fsm_context_body</t>
  </si>
  <si>
    <t>The text of the same card.</t>
  </si>
  <si>
    <t>Sport Wales uses the proportion of pupils eligible for Free School Meals as an indicator for deprivation. Your school’s figure (PLASC data): {value}</t>
  </si>
  <si>
    <t>{value} is replaced by the school’s figure. Keep {value} exactly, at the end.</t>
  </si>
  <si>
    <t>Mae Chwaraeon Cymru yn defnyddio cyfran y disgyblion sy'n gymwys i gael Prydau Ysgol am Ddim fel dangosydd ar gyfer amddifadedd. Ffigwr eich ysgol (data PLASC): {value}</t>
  </si>
  <si>
    <t>ui.fsm_context_value</t>
  </si>
  <si>
    <t>The placeholder shown where the figure will go until it is supplied.</t>
  </si>
  <si>
    <t>to be confirmed</t>
  </si>
  <si>
    <t>i'w gadarnhau</t>
  </si>
  <si>
    <t>ui.review_note</t>
  </si>
  <si>
    <t>A note shown only on internal review copies, in the side panel, reporting how much of the page text is in Welsh.</t>
  </si>
  <si>
    <t>Review build: {done} of {total} page-text rows are in Welsh; {pending} still await translation and appear in marked English.</t>
  </si>
  <si>
    <t>{done}, {total} and {pending} are replaced by numbers. Keep all three exactly.</t>
  </si>
  <si>
    <t>Fersiwn Adolygu: mae {done} o {total} o resi testun tudalen yn Gymraeg; mae {pending} yn dal i aros am gyfieithiad ac yn ymddangos yn Saesneg wedi'i farcio.</t>
  </si>
  <si>
    <t>ui.meta_version_value</t>
  </si>
  <si>
    <t>The value shown beside “Report version”.</t>
  </si>
  <si>
    <t>{report} · schema {schema}</t>
  </si>
  <si>
    <t>{report} and {schema} are replaced by version codes. Keep both exactly; only “schema” may be translated if there is a Welsh term.</t>
  </si>
  <si>
    <t>{report} · sgema {schema}</t>
  </si>
  <si>
    <t>Technical record labels</t>
  </si>
  <si>
    <t>ui.meta_survey_year</t>
  </si>
  <si>
    <t>A row label in the technical record table.</t>
  </si>
  <si>
    <t>Survey year</t>
  </si>
  <si>
    <t>Blwyddyn yr arolwg</t>
  </si>
  <si>
    <t>ui.meta_report_version</t>
  </si>
  <si>
    <t>Report version</t>
  </si>
  <si>
    <t>Fersiwn yr adroddiad</t>
  </si>
  <si>
    <t>ui.meta_pipeline</t>
  </si>
  <si>
    <t>Pipeline version</t>
  </si>
  <si>
    <t>Fersiwn piblinell</t>
  </si>
  <si>
    <t>ui.meta_suppression</t>
  </si>
  <si>
    <t>A row label in the technical record table (the rule that hides small groups).</t>
  </si>
  <si>
    <t>Suppression model</t>
  </si>
  <si>
    <t>Model ataliad</t>
  </si>
  <si>
    <t>ui.meta_generated</t>
  </si>
  <si>
    <t>A row label in the technical record table (the date the report was produced).</t>
  </si>
  <si>
    <t>Generated</t>
  </si>
  <si>
    <t>Cynhyrchwyd</t>
  </si>
  <si>
    <t>ui.meta_checksum</t>
  </si>
  <si>
    <t>A row label in the technical record table (a technical fingerprint of the data file).</t>
  </si>
  <si>
    <t>Source checksum</t>
  </si>
  <si>
    <t>Ffynhonnell swm gwirio</t>
  </si>
  <si>
    <t>ui.meta_weighting</t>
  </si>
  <si>
    <t>Weighting</t>
  </si>
  <si>
    <t>Pwysoliad</t>
  </si>
  <si>
    <t>ui.meta_weighting_value</t>
  </si>
  <si>
    <t>The value shown beside “Weighting”: the results are raw counts, not weighted.</t>
  </si>
  <si>
    <t>None — raw respondent counts</t>
  </si>
  <si>
    <t>Dim — cyfrifon crai o ymatebwyr</t>
  </si>
  <si>
    <t>Data-protection messages</t>
  </si>
  <si>
    <t>ui.gdpr_body_full</t>
  </si>
  <si>
    <t>The message shown in place of the whole report when a filter selects fewer than five pupils. It refers to data-protection law (GDPR); please translate faithfully.</t>
  </si>
  <si>
    <t>Fewer than five pupils match this selection, so their results are suppressed to protect pupil identity, in line with GDPR. The greyed charts show the whole school for context. Broaden the selection to see this group’s findings.</t>
  </si>
  <si>
    <t>Mae llai na phum disgybl yn cyfateb i'r dewis hwn, felly mae eu canlyniadau'n cael eu hatal i ddiogelu hunaniaeth y disgybl, yn unol â GDPR. Mae'r siartiau llwyd yn dangos yr ysgol gyfan ar gyfer cyd-destun. Ehangu'r detholiad i weld canfyddiadau'r grŵp hwn.</t>
  </si>
  <si>
    <t>ui.gdpr_body_module</t>
  </si>
  <si>
    <t>The message shown in place of one section when a group in that section has fewer than five pupils.</t>
  </si>
  <si>
    <t>Fewer than five pupils are in this group for the current view, so these findings are suppressed to protect pupil identity, in line with GDPR. The greyed charts show the whole school for context.</t>
  </si>
  <si>
    <t>Mae llai na phum disgybl yn y grŵp hwn i'r farn bresennol, felly mae'r canfyddiadau hyn yn cael eu hatal i amddiffyn hunaniaeth disgyblion, yn unol â GDPR. Mae'r siartiau llwyd yn dangos yr ysgol gyfan ar gyfer cyd-destun.</t>
  </si>
  <si>
    <t>Accessibility switch (new)</t>
  </si>
  <si>
    <t>ui.a11y_switch</t>
  </si>
  <si>
    <t>The label of the new “Accessibility features” switch in the side panel (it turns on larger text, higher contrast and colour-blind-safe charts).</t>
  </si>
  <si>
    <t>Accessibility features</t>
  </si>
  <si>
    <t>Short — it is a switch label.</t>
  </si>
  <si>
    <t>Nodweddion hygyrchedd</t>
  </si>
  <si>
    <t>ui.a11y_glossary_heading</t>
  </si>
  <si>
    <t>The heading of the glossary panel shown on the guide page when the accessibility switch is on.</t>
  </si>
  <si>
    <t>Glossary of terms used in this report</t>
  </si>
  <si>
    <t>ui.a11y_glossary_intro</t>
  </si>
  <si>
    <t>The line under that heading.</t>
  </si>
  <si>
    <t>Select a term to open its explanation in the guide.</t>
  </si>
  <si>
    <t>Dewiswch derm i agor ei esboniad yn y canllaw.</t>
  </si>
  <si>
    <t>Screen-reader names (not visible on the page)</t>
  </si>
  <si>
    <t>ui.aria_cover</t>
  </si>
  <si>
    <t>Not visible — the name a screen reader gives the cover page.</t>
  </si>
  <si>
    <t>Report cover</t>
  </si>
  <si>
    <t>Clawr adroddiad</t>
  </si>
  <si>
    <t>ui.aria_toc</t>
  </si>
  <si>
    <t>Not visible — the name a screen reader gives the list of report sections in the side panel.</t>
  </si>
  <si>
    <t>Report contents</t>
  </si>
  <si>
    <t>Cynnwys adroddiad</t>
  </si>
  <si>
    <t>ui.nav_aria</t>
  </si>
  <si>
    <t>Not visible — the name a screen reader gives the Back / Contents / Next links.</t>
  </si>
  <si>
    <t>Section navigation</t>
  </si>
  <si>
    <t>Llywio adran</t>
  </si>
  <si>
    <t>This is what a filled-in row looks like — the placeholder {n} is kept.</t>
  </si>
  <si>
    <t>Based on: {n} pupils</t>
  </si>
  <si>
    <t>Yn seiliedig ar: {n} disgybl</t>
  </si>
  <si>
    <t>Sheet 4 — Check the grammar rules the engine applies (43 rules)</t>
  </si>
  <si>
    <t>WHAT THIS IS: the Welsh sentences in the report are produced by software following the rules below. The rules were taken from published Welsh statistical reports and standard grammars, but they have never been checked by a Welsh speaker. Each row states one rule in plain English and shows a real sentence from the report that the rule produced.</t>
  </si>
  <si>
    <t>WHAT TO DO: for each rule choose “Correct”, “Wrong” or “Not sure” in column F. If a rule is wrong or incomplete, say in column G what the rule should be — with an example if you can. Five rows are marked PLEASE CHECK because we suspect a problem ourselves. Column E is our internal reference for the rule; you can ignore it.</t>
  </si>
  <si>
    <t>You are checking the RULE, not the whole sentence. If a sentence has a different problem, note it on sheet 5 (or in column G here).</t>
  </si>
  <si>
    <t>COMPLETE EVERY ROW: choose a verdict in F. If you choose “Wrong” or “Not sure”, explain the correct rule or the uncertainty in G, with an example where possible.</t>
  </si>
  <si>
    <t>Area</t>
  </si>
  <si>
    <t>The rule, in plain English</t>
  </si>
  <si>
    <t>A real sentence from the report that uses it</t>
  </si>
  <si>
    <t>Our ref.</t>
  </si>
  <si>
    <t>Your verdict (choose)</t>
  </si>
  <si>
    <t>If wrong: what should the rule be?</t>
  </si>
  <si>
    <t>How sentences are built</t>
  </si>
  <si>
    <t>Every finding is written verb-first, in the style of Sport Wales and Welsh Government statistical reports: “Dywedodd 159 o’r 363 disgybl … eu bod yn …”. A sentence never starts with a figure.</t>
  </si>
  <si>
    <t>Dywedodd 159 o’r 363 disgybl yn yr ysgol gyfan a ymatebodd eu bod yn cymryd rhan mewn o leiaf un gamp mewn clwb ysgol.</t>
  </si>
  <si>
    <t>SYN-01</t>
  </si>
  <si>
    <t>Correct</t>
  </si>
  <si>
    <t>The verb stands first without the affirmative particle: “Cymerodd disgyblion … ran”, not “Fe gymerodd …”. PLEASE CHECK: your own translation of these sentences used “fe gymerodd”. Both are grammatical; the report needs one register.</t>
  </si>
  <si>
    <t>Cymerodd 251 o’r 366 disgybl yn yr ysgol gyfan ran mewn chwaraeon clwb …</t>
  </si>
  <si>
    <t>SYN-01 (attested Sport Wales prose)</t>
  </si>
  <si>
    <t xml:space="preserve">Fe gymerodd would be more conversational, where as the rule is the more formal use. </t>
  </si>
  <si>
    <t>“Took part” is written with the split verb: “Cymerodd … ran mewn …”, never “Cymerodd X rhan”.</t>
  </si>
  <si>
    <t>Cymerodd naw o’r 12 merch ym Mlwyddyn 5 ran mewn chwaraeon clwb o leiaf unwaith yr wythnos.</t>
  </si>
  <si>
    <t>SYN-02</t>
  </si>
  <si>
    <t>“The largest group said X” is written as a cleft with the answer first: “‘X’ oedd yr ateb a ddewiswyd amlaf (60, neu 16%)”.</t>
  </si>
  <si>
    <t>O’r 366 disgybl yn yr ysgol gyfan a ymatebodd, ‘4’ oedd yr ateb a ddewiswyd amlaf (60, neu 16%).</t>
  </si>
  <si>
    <t>PR-08</t>
  </si>
  <si>
    <t>A comparison uses “o gymharu â” (with the aspirate mutation) or “o gymharu ag” before a vowel.</t>
  </si>
  <si>
    <t>… dywedodd 24 o’r 174 (14%) nad ydynt yn aml, neu byth, yn ei chael hi’n hawdd ymuno, o gymharu â 27 o’r 186 (15%) o ferched.</t>
  </si>
  <si>
    <t>SYN-07</t>
  </si>
  <si>
    <t>A contrast between two groups uses “tra bo …”.</t>
  </si>
  <si>
    <t>Tennis oedd ar y brig ymhlith bechgyn (91 o ddewisiadau), tra bo marchogaeth ceffylau ar y brig ymhlith merched (83 o ddewisiadau).</t>
  </si>
  <si>
    <t>SYN-08, D12</t>
  </si>
  <si>
    <t>“Among” is always “ymhlith” (not “ymysg”); “of those who …” is “o blith y … a …”.</t>
  </si>
  <si>
    <t>Ymhlith bechgyn yn yr ysgol gyfan, dywedodd 24 o’r 174 (14%) …</t>
  </si>
  <si>
    <t>D10, SYN-10</t>
  </si>
  <si>
    <t>The English agentless passive (“Pupils were asked …”) is written with the impersonal verb form: “Gofynnwyd i ddisgyblion …”, “Dewiswyd ‘X’ gan 12 o ddisgyblion”.</t>
  </si>
  <si>
    <t>Pan ofynnwyd iddynt a yw gwersi AG a Gwersi Actif yn gwneud iddynt deimlo’n iach …  /  ‘Cael hwyl’ oedd yr opsiwn a ddewiswyd amlaf …</t>
  </si>
  <si>
    <t>SYN-05, D17</t>
  </si>
  <si>
    <t>“Highest … lowest” uses “ar ei uchaf … ac ar ei isaf”; the possessive agrees with the gender of the subject noun (nifer → ei uchaf; canran/cyfran → ei huchaf).</t>
  </si>
  <si>
    <t>Roedd cyfranogiad … ar ei uchaf ym Mlwyddyn 6 (28 o’r 29, neu 97%) ac ar ei isaf ym Mlwyddyn 10 (40 o’r 48, neu 83%).</t>
  </si>
  <si>
    <t>SYN-06</t>
  </si>
  <si>
    <t>Zero and one</t>
  </si>
  <si>
    <t>When nobody chose an answer, the sentence says what was NOT chosen with “Ni ddewisodd yr un o’r …”, rather than stacking two negatives.</t>
  </si>
  <si>
    <t>Ni ddewisodd yr un o’r 12 merch ym Mlwyddyn 5 ‘Nac ydw, dim yn aml’ na ‘Byth’ ynghylch ymuno â chwaraeon a gemau.</t>
  </si>
  <si>
    <t>PR-02</t>
  </si>
  <si>
    <t>When only one pupil is described and the report does not know whether they are a boy or a girl, the sentence avoids “he/she” by using an impersonal form (“Nodwyd gan un disgybl …”) or agrees with the grammatical gender of the noun (“yr unig ddisgybl … ei ysgol”).</t>
  </si>
  <si>
    <t>Roedd yr unig fachgen ym Mlwyddyn 3 a ddywedodd yr hoffai gymryd rhan mewn mwy o fowls …  /  yr unig fachgen … y byddai’n well ganddo beidio â dweud a oedd ganddo anabledd …  /  yr unig ferch … pe bai ganddi yr hyn sydd ei angen</t>
  </si>
  <si>
    <t>PR-03, PR-14</t>
  </si>
  <si>
    <t>Numbers</t>
  </si>
  <si>
    <t>Survey results are always shown as figures (12, 366, 16%), never as words. Words are used only for small counts inside a few fixed phrases (see the next rule).</t>
  </si>
  <si>
    <t>Cymerodd 251 o’r 366 disgybl … ran …</t>
  </si>
  <si>
    <t>D02</t>
  </si>
  <si>
    <t>A figure followed by “o” takes the plural noun with soft mutation: “12 o ddisgyblion”, “221 o ddewisiadau”. But after a numeral WITH the article the noun is singular: “y 12 disgybl”, “o’r 366 disgybl”.</t>
  </si>
  <si>
    <t>gyda 221 o ddewisiadau  /  o’r 366 disgybl yn yr ysgol gyfan</t>
  </si>
  <si>
    <t>PL-09</t>
  </si>
  <si>
    <t>Counts of one to ten inside fixed phrases use the Welsh number words with the right gender and mutation, from a fixed table: un disgybl, dau ddisgybl, tri disgybl, pum disgybl, chwe disgybl; y ddwy gamp, y tair camp, y chwe champ, yr wyth camp.</t>
  </si>
  <si>
    <t>yn ôl chwech o’r chwe disgybl a ymatebodd  /  ran mewn dwy o gampau  /  (tri disgybl)  /  table caption: Y deg camp a ddewiswyd amlaf yn y golwg hwn</t>
  </si>
  <si>
    <t>Sheet 50</t>
  </si>
  <si>
    <t>“and” before a figure is “a” or “ac” depending on how the figure is READ ALOUD in Welsh, using the traditional (vigesimal) numbers: “ac 11” (ac un ar ddeg), “ac 8” (ac wyth), “ac 36” (ac un ar bymtheg ar hugain), but “a 3”, “a 12”. PLEASE CHECK THIS ONE CAREFULLY: if readers would say “tri deg chwech”, then “ac 36” is wrong and the rule should use the decimal reading.</t>
  </si>
  <si>
    <t>dywedodd 48 o’r 87 bachgen ac 36 o’r 91 merch a ymatebodd eu bod …</t>
  </si>
  <si>
    <t>CONJ-06</t>
  </si>
  <si>
    <t>Wrong</t>
  </si>
  <si>
    <t xml:space="preserve">Given this report deals with a lot of numbers, its more likely that readers will be reading the numbers as decimal numbers rather than vigesimal so the rule should reflect this. </t>
  </si>
  <si>
    <t>Ordinals are the traditional forms: cyntaf (which FOLLOWS its noun: y gamp gyntaf), ail, trydydd/trydedd, pedwerydd/pedwaredd … “The second most common” is “Yr ail … mwyaf cyffredin”.</t>
  </si>
  <si>
    <t>Yr ail opsiwn mwyaf cyffredin oedd ‘Bod gyda ffrindiau’ …  /  Yr ail camp neu weithgaredd mwyaf cyffredin oedd pêl droed (PLEASE CHECK: should “camp” mutate after “ail” → “Yr ail gamp”? This appears 2,465 times in the test school’s report.)</t>
  </si>
  <si>
    <t>Sheet 09, ADJ-11</t>
  </si>
  <si>
    <t xml:space="preserve">"Camp" should mutate after "ail" as suggested. </t>
  </si>
  <si>
    <t>A figure that ENDS in 2 (12, 22, 32 …) does not mutate the noun that follows: “22 disgybl”. PLEASE CHECK: in your own translation of the page you wrote “Yn seiliedig ar: 22 ddisgybl”, with the soft mutation — if that is right, the rule is wrong for every number ending in 2.</t>
  </si>
  <si>
    <t>Yn seiliedig ar: 22 disgybl  /  o’r 12 merch ym Mlwyddyn 5</t>
  </si>
  <si>
    <t>Sheet 08 / PL-09</t>
  </si>
  <si>
    <t>Written as a figure, there would be no mutation, but written as "dau" it would then mutate. So the rule is correct.</t>
  </si>
  <si>
    <t>Percentages are written “16%” with no space, and “neu 16%” (“or 16%”) after the count in brackets.</t>
  </si>
  <si>
    <t>(60, neu 16%)</t>
  </si>
  <si>
    <t>Mutations</t>
  </si>
  <si>
    <t>After “o”, “i”, “am”, “ar”, “gan”, “dros”, “drwy”, “wrth”, “heb”: soft mutation on the next word (o ddisgyblion, o fechgyn, o ferched, i ddisgyblion, gan ddisgyblion).</t>
  </si>
  <si>
    <t>gan 86 o’r 92 disgybl a nododd anabledd …  /  o ferched</t>
  </si>
  <si>
    <t>Sheet 07</t>
  </si>
  <si>
    <t>After locative “yn” (in): nasal mutation and the form of yn changes — ym Mlwyddyn 8, yng Nghymru, ym Mhowys. No mutation before the article: yn yr ysgol, yn y clwb.</t>
  </si>
  <si>
    <t>merched ym Mlwyddyn 4  /  yn yr ysgol gyfan</t>
  </si>
  <si>
    <t>After the conjunction “a” (and): aspirate mutation (a chriced, a phêl droed, a thennis); “ac” before a vowel and before mae/roedd/sydd/felly, and “ac” causes no mutation.</t>
  </si>
  <si>
    <t>… o leiaf unwaith yr wythnos, a chymerodd 142 o’r 366 (39%) ran mewn chwaraeon clwb  /  ac yna Rhywle arall (81)</t>
  </si>
  <si>
    <t>CONJ-01…04, PR-13</t>
  </si>
  <si>
    <t>After “neu” (or): soft mutation on nouns and adjectives (Rhedeg neu Loncian; camp neu weithgaredd).</t>
  </si>
  <si>
    <t>y gamp neu weithgaredd a ddewiswyd amlaf</t>
  </si>
  <si>
    <t>CONJ-09</t>
  </si>
  <si>
    <t>“mewn” (in a …) causes no mutation and never takes the article: mewn clwb, mewn gwersi AG. With “the” it becomes “yn y / yn yr”.</t>
  </si>
  <si>
    <t>mewn clwb y tu allan i’r ysgol  /  yn y clwb</t>
  </si>
  <si>
    <t>Sheet 12</t>
  </si>
  <si>
    <t>A feminine singular noun mutates after the article (y gamp, y ferch, y ganran) and mutates a following adjective (y gamp fwyaf poblogaidd). Plurals do not (y merched, campau poblogaidd).</t>
  </si>
  <si>
    <t>y gamp a ddewiswyd amlaf  /  y cyfranogiad uchaf</t>
  </si>
  <si>
    <t>ART-06, ADJ-02</t>
  </si>
  <si>
    <t>After “un” a feminine noun mutates (un gamp); after “dau/dwy” everything mutates (dau ddisgybl, dwy gamp); after “tri” and “chwe” the aspirate (tri chlwb, chwe champ); after “pum”, “saith”, “wyth”, “naw”, “deg” no mutation.</t>
  </si>
  <si>
    <t>o leiaf un gamp  /  y ddwy gamp  /  y chwe champ</t>
  </si>
  <si>
    <t>Sheet 08</t>
  </si>
  <si>
    <t>The setting “somewhere else” is written as the survey’s label “rhywle arall”, unmutated, after a verb phrase (“ran mewn chwech o gampau rhywle arall”). PLEASE CHECK: your translation of the same sentence wrote “6 champ rywle arall” — mutating the noun after “chwe(ch)” AND mutating “rhywle” as an adverb. If both are right, two rules change.</t>
  </si>
  <si>
    <t>cymerodd disgyblion … ran mewn chwech o gampau rhywle arall</t>
  </si>
  <si>
    <t>Sheet 07 (chwe → aspirate; adverbial noun → soft)</t>
  </si>
  <si>
    <t>Unadapted sport names (BMX, Boccia, Parkour, Taekwondo …) never mutate. Other sport names do (pêl droed → bêl droed after “o”, “am”, “gan”).</t>
  </si>
  <si>
    <t>Dewisodd 81 o ddisgyblion bêl osgoi …</t>
  </si>
  <si>
    <t>PR-05</t>
  </si>
  <si>
    <t>Sport names are written in lower case inside sentences (pêl droed, nofio, rygbi) and in Title Case in tables, charts and answer labels.</t>
  </si>
  <si>
    <t>Y campau a ddewiswyd amlaf gan ddisgyblion yn yr ysgol gyfan oedd tennis (273), pêl droed (221) a rhedeg neu loncian (214).  /  chart label: Pêl Droed</t>
  </si>
  <si>
    <t>D21, PR-10</t>
  </si>
  <si>
    <t>The article is “yr” before a vowel or h, “’r” after a word ending in a vowel, otherwise “y”: yr ysgol, o’r disgyblion, y gamp.</t>
  </si>
  <si>
    <t>o’r 366 disgybl  /  yr ail  /  y lleoliad</t>
  </si>
  <si>
    <t>Sheet 10</t>
  </si>
  <si>
    <t>Relative clauses (“who …”)</t>
  </si>
  <si>
    <t>“Pupils who chose X” is “disgyblion a ddewisodd X”: the particle “a” with soft mutation on the verb, and the verb is always third person SINGULAR even when the subject is plural (“a ddewisodd”, never “a ddewisasant”).</t>
  </si>
  <si>
    <t>y disgyblion a ddewisodd saethyddiaeth  /  disgyblion … a ddywedodd eu bod …</t>
  </si>
  <si>
    <t>REL-01, REL-09</t>
  </si>
  <si>
    <t>Present tense “who are / who do” uses “sydd” or “sy’n” with no particle: “disgyblion sy’n dod o gefndir ethnig amrywiol”.</t>
  </si>
  <si>
    <t>gan 42 o’r 45 disgybl sy’n dod o gefndir ethnig amrywiol</t>
  </si>
  <si>
    <t>REL-02</t>
  </si>
  <si>
    <t>Negative relatives use “nad” / “na”: “disgyblion nad ydynt yn siarad Cymraeg”, “y rhai na ddewisodd …”.</t>
  </si>
  <si>
    <t>… nad ydynt yn aml, neu byth, yn ei chael hi’n hawdd ymuno</t>
  </si>
  <si>
    <t>REL-07</t>
  </si>
  <si>
    <t>“The sport they would like to do more of” is an object-of-preposition relative and carries an inflected preposition agreeing with the noun: “y gamp yr oedd y galw mwyaf amdani” (camp is feminine → amdani), “rhywbeth yr hoffent wneud mwy ohono”.</t>
  </si>
  <si>
    <t>fel rhywbeth yr hoffent wneud mwy ohono ond nad ydynt yn ei wneud ar hyn o bryd</t>
  </si>
  <si>
    <t>REL-06</t>
  </si>
  <si>
    <t>Welsh has no participles, so “pupils selecting Tennis” is always a full relative clause (“disgyblion a ddewisodd Tennis”).</t>
  </si>
  <si>
    <t>y disgyblion a ddewisodd athletau</t>
  </si>
  <si>
    <t>REL-10</t>
  </si>
  <si>
    <t>Agreement and gender</t>
  </si>
  <si>
    <t>Every answer label has a grammatical gender in our table so that it can head a sentence correctly. Verb-nouns and unadapted loan words are treated as masculine unless the dictionary says otherwise.</t>
  </si>
  <si>
    <t>‘Cael hwyl’ oedd yr opsiwn a ddewiswyd amlaf …</t>
  </si>
  <si>
    <t>PR-01</t>
  </si>
  <si>
    <t>“camp neu weithgaredd” (sport or activity) agrees with the nearer noun (gweithgaredd, masculine).</t>
  </si>
  <si>
    <t>PR-06</t>
  </si>
  <si>
    <t>“golwg” (view) is treated as masculine: “y golwg hwn”.</t>
  </si>
  <si>
    <t>y lleoliad mwyaf cyffredin yn y golwg hwn</t>
  </si>
  <si>
    <t>PR-07</t>
  </si>
  <si>
    <t>“Very” follows the adjective (iach iawn, hyderus iawn); “quite” precedes it (eithaf iach). “dim ond” is used for “only”, never “jyst”.</t>
  </si>
  <si>
    <t>eu bod yn teimlo’n ‘iach iawn’ neu’n ‘eithaf iach’</t>
  </si>
  <si>
    <t>ADJ-12, ADJ-17</t>
  </si>
  <si>
    <t>Quoting the survey</t>
  </si>
  <si>
    <t>Answer options are quoted inside sentences in single curly quotes, exactly as the pupils saw them in the Welsh survey, with no mutation inside the quotes.</t>
  </si>
  <si>
    <t>dywedodd 313 o’r 366 a ymatebodd ‘Hyderus Iawn’ neu ‘Eithaf hyderus’</t>
  </si>
  <si>
    <t>D21 / sheet 23</t>
  </si>
  <si>
    <t>A group defined by an answer is described by echoing the survey question’s verb: pupils who said “Oes” to the disability question are “disgyblion a nododd anabledd neu gyflwr tymor hir”; a group with no survey question (ethnically diverse background) is NAMED instead of answered.</t>
  </si>
  <si>
    <t>disgybl a nododd anabledd neu gyflwr tymor hir  /  disgyblion sy’n dod o gefndir ethnig amrywiol</t>
  </si>
  <si>
    <t>PR-11</t>
  </si>
  <si>
    <t>Punctuation and style</t>
  </si>
  <si>
    <t>Curly apostrophes (’) and curly quotes (‘ ’, “ ”) throughout; the ampersand (&amp;) is never used; a list of three or more is “A, B a C” (or “ac C” before a vowel).</t>
  </si>
  <si>
    <t>tennis (273), pêl droed (221) a rhedeg neu loncian (214)</t>
  </si>
  <si>
    <t>CONJ-10, CONJ-11</t>
  </si>
  <si>
    <t>The people in a sentence are always “disgyblion” (pupils); “bechgyn” and “merched” are used only when the view is filtered by gender, and the year group is added when the view is filtered by year (“merched ym Mlwyddyn 5”).</t>
  </si>
  <si>
    <t>Ymhlith merched yn yr ysgol gyfan …  /  Cymerodd naw o’r 12 merch ym Mlwyddyn 5 ran …</t>
  </si>
  <si>
    <t>Sheet 20</t>
  </si>
  <si>
    <t>The place names of the school (local authority, regional partnership) are shown in their Welsh form from your document (Sir Benfro, Partneriaeth Chwaraeon Gorllewin Cymru).</t>
  </si>
  <si>
    <t>Awdurdod Lleol: Sir Benfro</t>
  </si>
  <si>
    <t>Sheet 53</t>
  </si>
  <si>
    <t>Sheet 5 — Check generated Welsh: 37 report sentences and 19 comparisons</t>
  </si>
  <si>
    <t>WHAT THIS IS: 37 sentences taken from the report exactly as the software wrote them (section A), followed by 19 sentences from YOUR document beside the software’s version of the same sentence (section B), with the English the software wrote for the same fact. They were chosen to cover the rules on sheet 4 and the situations that are hardest for the engine: nil counts, a single pupil, comparisons, rankings, filtered views. Column B says which view of the report the sentence comes from; column E lists the rules it uses.</t>
  </si>
  <si>
    <t>WHAT TO DO: read the Welsh against the English. Choose “Correct” or “Needs change” in column F. If it needs a change, write the corrected Welsh sentence in full in column G and, if you can, say WHY in column H (which word, which rule) — the same fix will then be applied to every sentence built the same way.</t>
  </si>
  <si>
    <t>The numbers are real data from a test school; do not change them. Answer options in single quotes (‘Llawer’) are the survey’s own wording (see sheet 2, AW-1).</t>
  </si>
  <si>
    <t>COMPLETE EVERY ROW: choose a verdict in F. If you choose “Needs change” or “Neither — see my version”, write the complete Welsh sentence in G. If you choose “Not sure”, explain why in H.</t>
  </si>
  <si>
    <t>View of the report it comes from</t>
  </si>
  <si>
    <t>English (as generated)</t>
  </si>
  <si>
    <t>Welsh (as generated)</t>
  </si>
  <si>
    <t>Rules it uses</t>
  </si>
  <si>
    <t>Corrected Welsh (whole sentence)</t>
  </si>
  <si>
    <t>Why / which word</t>
  </si>
  <si>
    <t>Whole school · All pupils  ·  Yr ysgol gyfan · Pob disgybl</t>
  </si>
  <si>
    <t>159 of the 363 pupils across the whole school who answered this question said they do at least one sport in a school club.</t>
  </si>
  <si>
    <t>Dywedodd N o’r …; soft mutation after o</t>
  </si>
  <si>
    <t>257 of the 363 pupils across the whole school who answered this question said they do at least one sport in a club outside of school.</t>
  </si>
  <si>
    <t>Dywedodd 257 o’r 363 disgybl yn yr ysgol gyfan a ymatebodd eu bod yn cymryd rhan mewn o leiaf un gamp mewn clwb y tu allan i’r ysgol.</t>
  </si>
  <si>
    <t>Year 5 · Girls  ·  Blwyddyn 5 · Merched</t>
  </si>
  <si>
    <t>9 of the 12 Year 5 girls took part in club sport at least once a week.</t>
  </si>
  <si>
    <t>Cymerodd … ran</t>
  </si>
  <si>
    <t>Of the 366 pupils across the whole school who answered, the largest group (60, or 16%) said ‘4’.</t>
  </si>
  <si>
    <t>cleft: ‘X’ oedd yr ateb a ddewiswyd amlaf</t>
  </si>
  <si>
    <t>Of the 366 pupils across the whole school who answered, the largest group (86, or 23%) said ‘No club sport reported’.</t>
  </si>
  <si>
    <t>O’r 366 disgybl yn yr ysgol gyfan a ymatebodd, ‘Dim chwaraeon clwb wedi’u nodi’ oedd yr ateb a ddewiswyd amlaf (86, neu 23%).</t>
  </si>
  <si>
    <t>Tennis was the most frequently selected sport or activity, selected by 273 of the 366 pupils across the whole school who answered. Next came Football, with 221 selections, across the whole school.</t>
  </si>
  <si>
    <t>Tennis oedd y gamp neu weithgaredd a ddewiswyd amlaf, gan 273 o’r 366 disgybl yn yr ysgol gyfan a ymatebodd. Yr ail camp neu weithgaredd mwyaf cyffredin oedd pêl droed, gyda 221 o ddewisiadau, ymhlith disgyblion yn yr ysgol gyfan.</t>
  </si>
  <si>
    <t>N o + plural; ymhlith</t>
  </si>
  <si>
    <t>Whole school · All pupils · Wants more Archery  ·  Yr ysgol gyfan · Pob disgybl · Eisiau mwy o Saethyddiaeth</t>
  </si>
  <si>
    <t>The pupils who selected Archery also most wanted Rock Climbing or Bouldering (73), Tennis (72) and Swimming (71), out of the 125 pupils across the whole school who said they would like to do more Archery.</t>
  </si>
  <si>
    <t>Roedd y disgyblion a ddewisodd saethyddiaeth hefyd am gael mwy o ddringo creigiau neu feini mawr (73), tennis (72) a nofio (71), o blith y 125 disgybl yn yr ysgol gyfan a ddywedodd yr hoffent gymryd rhan mewn mwy o saethyddiaeth.</t>
  </si>
  <si>
    <t>singular noun after y + numeral</t>
  </si>
  <si>
    <t>Among groups large enough to report, the highest participation in a single setting across the whole school was Year 4 girls in PE or lesson time: 17 of 17 pupils (100%).</t>
  </si>
  <si>
    <t>Ymhlith y grwpiau sy’n ddigon mawr i’w hadrodd, y cyfranogiad uchaf mewn un lleoliad yn yr ysgol gyfan oedd merched ym Mlwyddyn 4 yn ystod Addysg Gorfforol neu Amser Gwersi: 17 o’r 17 disgybl (100%).</t>
  </si>
  <si>
    <t>nasal mutation after yn; sy’n</t>
  </si>
  <si>
    <t>Among pupils across the whole school, participation in PE or lesson time was proportionally highest in Year 6 (28 of 29, or 97%) and lowest in Year 10 (40 of 48, or 83%).</t>
  </si>
  <si>
    <t>Roedd cyfranogiad mewn chwaraeon yn ystod Addysg Gorfforol neu Amser Gwersi ar ei uchaf ym Mlwyddyn 6 (28 o’r 29, neu 97%) ac ar ei isaf ym Mlwyddyn 10 (40 o’r 48, neu 83%), ymhlith disgyblion yn yr ysgol gyfan.</t>
  </si>
  <si>
    <t>nasal mutation after yn</t>
  </si>
  <si>
    <t>On average, pupils across the whole school participated in 12 sports throughout the academic year.</t>
  </si>
  <si>
    <t>Ar gyfartaledd, cymerodd disgyblion yn yr ysgol gyfan ran mewn 12 o gampau yn ystod y flwyddyn academaidd.</t>
  </si>
  <si>
    <t>soft mutation after o</t>
  </si>
  <si>
    <t>251 of the 366 pupils across the whole school who answered (69%) did club sport (in a school club or a club outside of school) at least once a week, and 142 of the 366 pupils across the whole school who answered (39%) did club sport (in a school club or a club outside of school) three or more times per week.</t>
  </si>
  <si>
    <t>Cymerodd 251 o’r 366 disgybl yn yr ysgol gyfan a ymatebodd (69%) ran mewn chwaraeon clwb (mewn clwb ysgol neu glwb y tu allan i’r ysgol) o leiaf unwaith yr wythnos, a chymerodd 142 o’r 366 (39%) ran mewn chwaraeon clwb (mewn clwb ysgol neu glwb y tu allan i’r ysgol) deirgwaith neu fwy yr wythnos.</t>
  </si>
  <si>
    <t>aspirate after a (and); soft mutation after o</t>
  </si>
  <si>
    <t>Asked whether PE and Active Lessons make them feel healthy, confident and ready to learn, Year 5 girls answered: 11 of 12 said ‘very’ or ‘quite’ healthy, 12 of 12 said ‘very’ or ‘quite’ confident and 11 of 12 said ‘very’ or ‘quite’ ready to learn.</t>
  </si>
  <si>
    <t>Pan ofynnwyd iddynt a yw gwersi AG a Gwersi Actif yn gwneud iddynt deimlo’n iach, yn hyderus ac yn barod i ddysgu, ymatebodd merched ym Mlwyddyn 5 fel a ganlyn: dywedodd 11 o’r 12 eu bod yn teimlo’n ‘iach iawn’ neu’n ‘eithaf iach’, 12 eu bod yn hyderus ac 11 eu bod yn barod i ddysgu.</t>
  </si>
  <si>
    <t>a/ac before a figure — PLEASE CHECK</t>
  </si>
  <si>
    <t>Needs change</t>
  </si>
  <si>
    <t>eu bod yn hyderus a 11 eu bod yn barod i ddysgu</t>
  </si>
  <si>
    <t xml:space="preserve">a/ac as per the rule change suggestion on tab 4. </t>
  </si>
  <si>
    <t>Among boys across the whole school, 24 of 174 (14%) said they do not often or never find it easy to join in, compared with 27 of 186 (15%) of girls.</t>
  </si>
  <si>
    <t>Ymhlith bechgyn yn yr ysgol gyfan, dywedodd 24 o’r 174 (14%) nad ydynt yn aml, neu byth, yn ei chael hi’n hawdd ymuno, o gymharu â 27 o’r 186 (15%) o ferched.</t>
  </si>
  <si>
    <t>o gymharu â; ymhlith</t>
  </si>
  <si>
    <t>Among boys across the whole school, 154 of 174 (89%) said PE and Active Lessons make them feel ‘very’ or ‘quite’ healthy, compared with 155 of 186 (83%) of girls.</t>
  </si>
  <si>
    <t>Ymhlith bechgyn yn yr ysgol gyfan, dywedodd 154 o’r 174 (89%) fod gwersi AG a Gwersi Actif yn gwneud iddynt deimlo’n ‘iach iawn’ neu’n ‘eithaf iach’, o gymharu â 155 o’r 186 (83%) o ferched.</t>
  </si>
  <si>
    <t>o gymharu â</t>
  </si>
  <si>
    <t>Tennis led among boys (91 selections), while Horse Riding led among girls (83 selections), across the whole school.</t>
  </si>
  <si>
    <t>Tennis oedd ar y brig ymhlith bechgyn (91 o ddewisiadau), tra bo marchogaeth ceffylau ar y brig ymhlith merched (83 o ddewisiadau), yn yr ysgol gyfan.</t>
  </si>
  <si>
    <t>tra bo; N o + plural</t>
  </si>
  <si>
    <t>Dodgeball led among boys (46 selections), while Ice Skating led among girls (47 selections), across the whole school.</t>
  </si>
  <si>
    <t>Pêl osgoi oedd ar y brig ymhlith bechgyn (46 o ddewisiadau), tra bo sglefrio iâ ar y brig ymhlith merched (47 o ddewisiadau), yn yr ysgol gyfan.</t>
  </si>
  <si>
    <t>tra bo</t>
  </si>
  <si>
    <t>Among pupils across the whole school who said they do not often find it easy to join in with sports and games, ‘I felt more confident’ was the most frequently selected condition that would help them do more sport (32 of 44 who answered).</t>
  </si>
  <si>
    <t>Ymhlith disgyblion yn yr ysgol gyfan a ddywedodd nad ydynt yn aml yn gallu ymuno â chwaraeon a gemau yn hawdd, ‘Pe bawn i’n teimlo’n fwy hyderus’ oedd yr amod a ddewiswyd amlaf a fyddai’n eu helpu i wneud mwy o chwaraeon (32 o’r 44 a ymatebodd).</t>
  </si>
  <si>
    <t>ymhlith; cleft: ‘X’ oedd yr ateb a ddewiswyd amlaf</t>
  </si>
  <si>
    <t>Sport in PE or lesson time was the most frequently selected setting, chosen by 86 of the 92 pupils with a disability or long-term condition across the whole school who answered, followed by Somewhere else (81), In a club outside of school (61) and In a school club (37).</t>
  </si>
  <si>
    <t>Yn ystod Addysg Gorfforol neu Amser Gwersi oedd y lleoliad a ddewiswyd amlaf, gan 86 o’r 92 disgybl a nododd anabledd neu gyflwr tymor hir ymhlith disgyblion yn yr ysgol gyfan, ac yna Rhywle arall (81), Mewn clwb y tu allan i’r ysgol (61) a Mewn clwb ysgol (37).</t>
  </si>
  <si>
    <t>relative a ddywedodd / a nododd; cleft: ‘X’ oedd yr ateb a ddewiswyd amlaf; ymhlith</t>
  </si>
  <si>
    <t>Whole school · Girls  ·  Yr ysgol gyfan · Merched</t>
  </si>
  <si>
    <t>Among girls across the whole school who said they do not often find it easy to join in with sports and games, ‘I felt more confident’ was the most frequently selected condition that would help them do more sport (17 of 22 who answered).</t>
  </si>
  <si>
    <t>Ymhlith merched yn yr ysgol gyfan a ddywedodd nad ydynt yn aml yn gallu ymuno â chwaraeon a gemau yn hawdd, ‘Pe bawn i’n teimlo’n fwy hyderus’ oedd yr amod a ddewiswyd amlaf a fyddai’n eu helpu i wneud mwy o chwaraeon (17 o’r 22 a ymatebodd).</t>
  </si>
  <si>
    <t>relative a ddywedodd / a nododd</t>
  </si>
  <si>
    <t>In PE or lesson time leads among girls across the whole school, as it does among pupils across the whole school.</t>
  </si>
  <si>
    <t>Yn ystod Addysg Gorfforol neu Amser Gwersi sydd ar y brig ymhlith merched yn yr ysgol gyfan, fel y mae ymhlith yr holl ddisgyblion yn yr ysgol gyfan.</t>
  </si>
  <si>
    <t>sy’n</t>
  </si>
  <si>
    <t>Rounders leads among girls across the whole school, whereas Tennis leads among pupils across the whole school.</t>
  </si>
  <si>
    <t>Rownderi sydd ar y brig ymhlith merched yn yr ysgol gyfan, tra bo tennis ar y brig ymhlith yr holl ddisgyblion yn yr ysgol gyfan.</t>
  </si>
  <si>
    <t>55 of the 366 pupils across the whole school who answered (15%) said they do not often or never find it easy to join in.</t>
  </si>
  <si>
    <t>Dywedodd 55 o’r 366 disgybl yn yr ysgol gyfan a ymatebodd (15%) nad ydynt yn aml, neu byth, yn ei chael hi’n hawdd ymuno.</t>
  </si>
  <si>
    <t>negative relative nad</t>
  </si>
  <si>
    <t>Among pupils across the whole school who said they were not very confident to try a new sport, ‘I felt more confident’ was the most frequently selected condition that would help them do more sport (37 of 58 who answered).</t>
  </si>
  <si>
    <t>Ymhlith disgyblion yn yr ysgol gyfan a ddywedodd nad oeddent yn hyderus iawn i roi cynnig ar gamp newydd, ‘Pe bawn i’n teimlo’n fwy hyderus’ oedd yr amod a ddewiswyd amlaf a fyddai’n eu helpu i wneud mwy o chwaraeon (37 o’r 58 a ymatebodd).</t>
  </si>
  <si>
    <t>None of the 12 Year 5 girls who answered said they do not often or never find it easy to join in.</t>
  </si>
  <si>
    <t>Ni ddewisodd yr un o’r 12 merch ym Mlwyddyn 5 a ymatebodd ‘Nac ydw, dim yn aml’ na ‘Byth’ ynghylch ymuno â chwaraeon a gemau.</t>
  </si>
  <si>
    <t>nil count: Ni ddewisodd yr un …</t>
  </si>
  <si>
    <t>Primary phase · Boys · Confidence trying a new sport: Not at all  ·  Y cyfnod cynradd · Bechgyn · Hyder i roi cynnig ar gamp newydd: Dim o gwbl</t>
  </si>
  <si>
    <t>Caving was the most frequently selected sport, selected by 1 of the 1 boy in the primary phase who said they were not at all confident to try a new sport.</t>
  </si>
  <si>
    <t>Crwydro ogofâu oedd y gamp a ddewiswyd amlaf, gan yr unig fachgen yn yr ysgol gynradd a ddywedodd nad oedd yn hyderus o gwbl i roi cynnig ar gamp newydd.</t>
  </si>
  <si>
    <t>one pupil: ganddo / ganddi / yr unig …</t>
  </si>
  <si>
    <t>Primary phase · Boys · Ideas listened to: Never  ·  Y cyfnod cynradd · Bechgyn · Gwrando ar syniadau: Byth</t>
  </si>
  <si>
    <t>1 of the 1 boy in the primary phase who said their ideas about sport are never listened to said they can join in with sports and games easily at least sometimes.</t>
  </si>
  <si>
    <t>Dywedodd yr unig fachgen yn yr ysgol gynradd a ddywedodd nad yw’r athrawon yn ei ysgol byth yn gwrando ar ei syniadau ar gyfer chwaraeon y gall, o leiaf weithiau, ymuno’n hawdd â chwaraeon a gemau.</t>
  </si>
  <si>
    <t>Whole school · All pupils · Selected Archery  ·  Yr ysgol gyfan · Pob disgybl · Dewiswyd Saethyddiaeth</t>
  </si>
  <si>
    <t>Year 10: sport somewhere else was the most common setting in this view, reported by 6 of the 6 pupils who answered.</t>
  </si>
  <si>
    <t>Blwyddyn 10: chwaraeon rhywle arall oedd y lleoliad mwyaf cyffredin yn y golwg hwn, yn ôl chwech o’r chwe disgybl a ymatebodd.</t>
  </si>
  <si>
    <t>number words 1–10 from the fixed table</t>
  </si>
  <si>
    <t>Whole school · All pupils · Selected BMX  ·  Yr ysgol gyfan · Pob disgybl · Dewiswyd BMX</t>
  </si>
  <si>
    <t>Sport somewhere else was the most frequently selected setting, chosen by 6 of the 6 pupils with a disability or long-term condition among pupils across the whole school who selected BMX who answered, followed by In PE or lesson time (5), In a club outside of school (5) and In a school club (3).</t>
  </si>
  <si>
    <t>Rhywle arall oedd y lleoliad a ddewiswyd amlaf, gan chwech o’r chwe disgybl a nododd anabledd neu gyflwr tymor hir ymhlith disgyblion yn yr ysgol gyfan a ddewisodd BMX, ac yna Yn ystod Addysg Gorfforol neu Amser Gwersi (5), Mewn clwb y tu allan i’r ysgol (5) a Mewn clwb ysgol (3).</t>
  </si>
  <si>
    <t>Pupils were most likely to say they did Football in a club outside of school, reported by 84 of the pupils across the whole school who answered for that setting, followed by Swimming (74) and Rugby (63).</t>
  </si>
  <si>
    <t>Pêl droed oedd y gamp y dywedodd disgyblion yn yr ysgol gyfan amlaf eu bod yn ei gwneud mewn clwb y tu allan i’r ysgol (84 disgybl a atebodd ar gyfer y lleoliad hwnnw), ac yna nofio (74) a rygbi (63).</t>
  </si>
  <si>
    <t>sport names lower case + mutated</t>
  </si>
  <si>
    <t>Tennis was the most frequently selected sport, selected by 169 of the 366 pupils across the whole school who answered. Next came Swimming, with 143 selections, across the whole school.</t>
  </si>
  <si>
    <t>Tennis oedd y gamp a ddewiswyd amlaf, gan 169 o’r 366 disgybl yn yr ysgol gyfan a ymatebodd. Yr ail camp mwyaf cyffredin oedd nofio, gyda 143 o ddewisiadau, ymhlith disgyblion yn yr ysgol gyfan.</t>
  </si>
  <si>
    <t>sport names lower case + mutated; N o + plural</t>
  </si>
  <si>
    <t>Dodgeball had the largest unmet-demand count (81 pupils), while Tennis had the largest current-participation count (273), across the whole school.</t>
  </si>
  <si>
    <t>Pêl osgoi oedd â’r galw mwyaf heb ei fodloni (81 disgybl), tra bo tennis â’r cyfranogiad presennol uchaf (273), ymhlith disgyblion yn yr ysgol gyfan.</t>
  </si>
  <si>
    <t>superlative / ar ei uchaf</t>
  </si>
  <si>
    <t>Enjoyment of PE was proportionally highest in Year 4 (23 of 28 answered ‘a lot’, or 82%) and lowest in Year 10 (16 of 49, or 33%), across the whole school.</t>
  </si>
  <si>
    <t>Roedd mwynhad o wersi AG ar ei uchaf ym Mlwyddyn 4 (23 o’r 28 yn ateb ‘Llawer’, neu 82%) ac ar ei isaf ym Mlwyddyn 10 (16 o’r 49, neu 33%), ymhlith disgyblion yn yr ysgol gyfan.</t>
  </si>
  <si>
    <t>superlative / ar ei uchaf; nasal mutation after yn</t>
  </si>
  <si>
    <t>The next most common option chosen was ‘Being with friends’, with 225 pupils across the whole school choosing this option.</t>
  </si>
  <si>
    <t>Yr ail opsiwn mwyaf cyffredin oedd ‘Bod gyda ffrindiau’, gyda 225 o ddisgyblion yn dewis yr opsiwn hwn, ymhlith disgyblion yn yr ysgol gyfan.</t>
  </si>
  <si>
    <t>ordinal (ail); N o + plural</t>
  </si>
  <si>
    <t>Archery was the most frequently selected sport, selected by 56 of the 88 pupils across the whole school who selected Archery. Next came Running or jogging, with 49 selections, among pupils across the whole school who selected Archery.</t>
  </si>
  <si>
    <t>Saethyddiaeth oedd y gamp a ddewiswyd amlaf, gan 56 o’r 88 disgybl yn yr ysgol gyfan a ddewisodd saethyddiaeth. Yr ail camp mwyaf cyffredin oedd rhedeg neu loncian, gyda 49 o ddewisiadau, ymhlith disgyblion yn yr ysgol gyfan a ddewisodd saethyddiaeth.</t>
  </si>
  <si>
    <t>‘Yr ail camp’ — PLEASE CHECK the mutation after ail</t>
  </si>
  <si>
    <t>Yr ail gamp mwyaf cyffredin oedd rhedeg neu loncian</t>
  </si>
  <si>
    <t>Needs mutation after ail</t>
  </si>
  <si>
    <t>‘There were more sports I liked’ was the most commonly chosen answer that would help pupils across the whole school do more sport, selected by 202 of the 366 pupils who answered.</t>
  </si>
  <si>
    <t>‘Pe bai mwy o chwaraeon rydw i’n eu hoffi’ oedd yr ateb a ddewiswyd amlaf a fyddai’n helpu disgyblion yn yr ysgol gyfan i wneud mwy o chwaraeon, a ddewiswyd gan 202 o’r 366 disgybl a ymatebodd.</t>
  </si>
  <si>
    <t>eu h-</t>
  </si>
  <si>
    <t>The condition most often chosen as helping pupils across the whole school do more sport was ‘There were more sports I liked’ (202 of 366).</t>
  </si>
  <si>
    <t>Yr amod a ddewiswyd amlaf fel un a fyddai’n helpu disgyblion yn yr ysgol gyfan i wneud mwy o chwaraeon oedd ‘Pe bai mwy o chwaraeon rydw i’n eu hoffi’ (202 o’r 366).</t>
  </si>
  <si>
    <t>Whole school · All pupils · Values: Having fun  ·  Yr ysgol gyfan · Pob disgybl · Yn gwerthfawrogi: Cael hwyl</t>
  </si>
  <si>
    <t>‘Being with friends’ was the most commonly selected option (apart from the answer defining this selected group), chosen by 197 of the 295 pupils across the whole school who selected ‘Having fun’ as important when they play sport who answered this question.</t>
  </si>
  <si>
    <t>‘Bod gyda ffrindiau’ oedd yr opsiwn a ddewiswyd amlaf (ac eithrio’r ateb sy’n diffinio’r grŵp hwn), gan 197 o’r 295 disgybl yn yr ysgol gyfan a ddewisodd ‘Cael hwyl’ fel rhywbeth pwysig wrth gymryd rhan mewn chwaraeon.</t>
  </si>
  <si>
    <t>(ac eithrio …)</t>
  </si>
  <si>
    <t>Section B — 19 matched sentences. Column C is the Welsh from your document; D is the engine’s Welsh; E explains the differences. Choose which is right in F, or give a complete third version in G.</t>
  </si>
  <si>
    <t>Where the sentence came from</t>
  </si>
  <si>
    <t>Welsh from your document</t>
  </si>
  <si>
    <t>Welsh from the engine</t>
  </si>
  <si>
    <t>Differences and decisions</t>
  </si>
  <si>
    <t>Your Welsh if neither is right</t>
  </si>
  <si>
    <t>Why / comment</t>
  </si>
  <si>
    <t>T1</t>
  </si>
  <si>
    <t>Whole school · All pupils (your document, section ‘An Active Nation’ / ‘A Lifelong Enjoyment’)</t>
  </si>
  <si>
    <t>O’r 366 disgybl ar draws yr ysgol gyfan a atebodd, dywedodd y grŵp mwyaf (60, neu 16%) ‘4’.</t>
  </si>
  <si>
    <t>(a) “ar draws yr ysgol gyfan” vs “yn yr ysgol gyfan” — the engine's audience form for the whole school (sheet 21). (b) “a atebodd” vs “a ymatebodd” (answered / responded) — the engine's predicate (sheet 19). (c) “dywedodd y grŵp mwyaf … ‘4’” — a literal “the largest group said” — vs the engine's cleft “‘4’ oedd yr ateb a ddewiswyd amlaf”, which is ruling PR-08 (Q14: ‘the largest group’ has no attested genre equivalent, so the engine avoids “y grŵp mwyaf”). The translator has just used it — which answers Q14.</t>
  </si>
  <si>
    <t>The engine’s version is right</t>
  </si>
  <si>
    <t>T2</t>
  </si>
  <si>
    <t>… cymerodd disgyblion ar draws yr ysgol ran mewn 12 camp yn ystod y flwyddyn academaidd.</t>
  </si>
  <si>
    <t>… cymerodd disgyblion yn yr ysgol gyfan ran mewn 12 o gampau yn ystod y flwyddyn academaidd.</t>
  </si>
  <si>
    <t>“12 camp” (singular noun after a figure) vs “12 o gampau” (partitive). Both are grammatical; the framework chose the partitive for figures (PL-09 note, D02). The translator's instinct is the numeral+singular.</t>
  </si>
  <si>
    <t>T3</t>
  </si>
  <si>
    <t>… oedd Tennis (273), Pêl-droed (221) a Rhedeg neu loncian (214).</t>
  </si>
  <si>
    <t>… oedd tennis (273), pêl droed (221) a rhedeg neu loncian (214).</t>
  </si>
  <si>
    <t>Casing and hyphen: the translator keeps sport names in title case inside the sentence and writes “Pêl-droed”; the engine lower-cases sport names in prose (D21/PR-10) and uses the survey's unhyphenated “Pêl Droed” label form. Two rulings the translator has now taken a view on.</t>
  </si>
  <si>
    <t>T4</t>
  </si>
  <si>
    <t>… fe gymerodd disgyblion … ran mewn 5 camp mewn AG neu amser gwersi …</t>
  </si>
  <si>
    <t>… cymerodd disgyblion … ran mewn pump o gampau yn ystod Addysg Gorfforol neu Amser Gwersi …</t>
  </si>
  <si>
    <t>(a) “fe gymerodd” (affirmative particle fe + mutation) vs bare “cymerodd” — register choice; the attested Sport Wales prose the framework copied uses the bare verb (SYN-01). (b) “5 camp” vs “pump o gampau” — figure vs word for 1–10 (D02) and singular vs partitive (as row 2). (c) “mewn AG neu amser gwersi” vs the survey's setting label “Yn ystod Addysg Gorfforol neu Amser Gwersi” — the engine quotes the survey setting label; the translator abbreviates.</t>
  </si>
  <si>
    <t>T5</t>
  </si>
  <si>
    <t>… fe gymerodd disgyblion ar draws yr ysgol ran mewn un gamp mewn clwb ysgol …</t>
  </si>
  <si>
    <t>… cymerodd disgyblion yn yr ysgol gyfan ran mewn un gamp mewn clwb ysgol …</t>
  </si>
  <si>
    <t>Same as row 4 (a); otherwise identical — note both write “un gamp”.</t>
  </si>
  <si>
    <t>T6</t>
  </si>
  <si>
    <t>… ran mewn 6 champ rywle arall …</t>
  </si>
  <si>
    <t>… ran mewn chwech o gampau rhywle arall …</t>
  </si>
  <si>
    <t>“6 champ” — the translator applies the aspirate mutation after chwe(ch) to the noun and soft-mutates “rhywle” adverbially; the engine writes the word “chwech o gampau” (partitive, no mutation) and “rhywle arall” unmutated (the survey label). Both mutations the translator applied are rules the framework knows (chwe → aspirate; adverbial noun → soft) but does not fire in these positions.</t>
  </si>
  <si>
    <t>T7</t>
  </si>
  <si>
    <t>… ‘Dim adroddiad am chwaraeon clwb' ddywedodd y grŵp mwyaf (86, neu 23%).</t>
  </si>
  <si>
    <t>… ‘Dim chwaraeon clwb wedi’u nodi’ oedd yr ateb a ddewiswyd amlaf (86, neu 23%).</t>
  </si>
  <si>
    <t>As row 1 (cleft vs “the largest group said”), plus the label: the report's “Dim chwaraeon clwb wedi’u nodi” is our label for a derived option (“No club sport reported” is not a survey answer); the translator's is “Dim adroddiad am chwaraeon clwb”.</t>
  </si>
  <si>
    <t>T8</t>
  </si>
  <si>
    <t>… fe gymerodd disgyblion ag anabledd a/neu anhawster dysgu ar draws yr ysgol gyfan ran mewn 13 camp …</t>
  </si>
  <si>
    <t>… cymerodd disgyblion a nododd anabledd a/neu anhawster dysgu ymhlith disgyblion yn yr ysgol gyfan ran mewn 13 o gampau …</t>
  </si>
  <si>
    <t>The group description: translator “disgyblion ag anabledd …” (pupils with a disability — a noun phrase with ‘â/ag’) vs engine “disgyblion a nododd anabledd …” (pupils who reported a disability — a relative clause echoing the survey verb, D54/sheet 22). The engine's form is more cautious (it says what pupils reported, not what they have); the English says “with”. A wording policy question, not grammar.</t>
  </si>
  <si>
    <t>T9</t>
  </si>
  <si>
    <t>… y gofynnwyd iddynt a oeddent yn siarad Cymraeg wrth wneud chwaraeon, dywedodd 17 …</t>
  </si>
  <si>
    <t>… y gofynnwyd iddynt a ydynt yn siarad Cymraeg wrth gymryd rhan mewn chwaraeon, atebodd 17 …</t>
  </si>
  <si>
    <t>Tense of the embedded question (“a oeddent” past vs “a ydynt” present), “wrth wneud chwaraeon” vs “wrth gymryd rhan mewn chwaraeon” (the survey's own question says “pan fyddi di’n gwneud chwaraeon”), and “dywedodd” vs “atebodd”.</t>
  </si>
  <si>
    <t>T10</t>
  </si>
  <si>
    <t>Yr opsiwn mwyaf cyffredin nesaf a ddewiswyd oedd ‘Bod gyda ffrindiau’, gyda 225 disgybl ar draws yr ysgol gyfan yn dewis yr opsiwn hwn.</t>
  </si>
  <si>
    <t>“The next most common” — translator “mwyaf cyffredin nesaf” (stacked, with ‘nesaf’ last) vs the engine's ordinal “Yr ail … mwyaf cyffredin” (ADJ-11: comparative/superlative must come last, so ‘next’ becomes ‘second’). Also “225 disgybl” vs “225 o ddisgyblion” (row 2) and the position of the audience phrase.</t>
  </si>
  <si>
    <t>T11</t>
  </si>
  <si>
    <t>‘Cael hwyl’ oedd yr opsiwn mwyaf cyffredin a ddewiswyd gan fechgyn ar draws yr ysgol gyfan (141 disgybl).</t>
  </si>
  <si>
    <t>‘Cael hwyl’ oedd yr opsiwn a ddewiswyd amlaf gan fechgyn yn yr ysgol gyfan (141 disgybl).</t>
  </si>
  <si>
    <t>“yr opsiwn mwyaf cyffredin a ddewiswyd” vs “yr opsiwn a ddewiswyd amlaf” — two ways of saying ‘most common’; the engine's is the PR-08 cleft form used everywhere.</t>
  </si>
  <si>
    <t>T12</t>
  </si>
  <si>
    <t>(girls — as row 11)</t>
  </si>
  <si>
    <t>(as row 11)</t>
  </si>
  <si>
    <t>As row 11.</t>
  </si>
  <si>
    <t>T13</t>
  </si>
  <si>
    <t>Nesaf roedd ‘Roeddwn i’n teimlo’n fwy hyderus’, gyda 117 o ddisgyblion ar draws yr ysgol gyfan yn dewis yr ateb hwn.</t>
  </si>
  <si>
    <t>Yr ail ateb mwyaf cyffredin oedd ‘Pe bawn i’n teimlo’n fwy hyderus’, gyda 117 o ddisgyblion yn ei ddewis, ymhlith disgyblion yn yr ysgol gyfan.</t>
  </si>
  <si>
    <t>“Nesaf roedd …” (Next came) vs the engine's ordinal (row 10); the quoted label is the survey's “Pe bawn i’n …” vs the translator's own “Roeddwn i’n …” (AW-1); “yn dewis yr ateb hwn” vs “yn ei ddewis”.</t>
  </si>
  <si>
    <t>T14</t>
  </si>
  <si>
    <t>… dywedodd y grŵp mwyaf (173, neu 47%) ‘Weithiau’.</t>
  </si>
  <si>
    <t>… ‘Weithiau’ oedd yr ateb a ddewiswyd amlaf (173, neu 47%).</t>
  </si>
  <si>
    <t>As row 1 (c).</t>
  </si>
  <si>
    <t>T15</t>
  </si>
  <si>
    <t>… dywedodd y grŵp mwyaf (186, neu 51%) ‘Ydw, weithiau’.</t>
  </si>
  <si>
    <t>… ‘Ydw, weithiau’ oedd yr ateb a ddewiswyd amlaf (186, neu 51%).</t>
  </si>
  <si>
    <t>T16</t>
  </si>
  <si>
    <t>Nesaf roedd Saethyddiaeth ac Eira-fyrddio yn gyfartal, a ddewiswyd 69 tro yr un, ar draws yr ysgol gyfan.</t>
  </si>
  <si>
    <t>Yna daeth saethyddiaeth ac eirafyrddio, gyda 69 o ddewisiadau yr un, ymhlith disgyblion yn yr ysgol gyfan.</t>
  </si>
  <si>
    <t>“Nesaf roedd” vs “Yna daeth”; “a ddewiswyd 69 tro yr un” (chosen 69 times each) vs “gyda 69 o ddewisiadau yr un” (with 69 selections each); casing of sport names; “Eira-fyrddio” vs “eirafyrddio” (spelling of the label).</t>
  </si>
  <si>
    <t>T17</t>
  </si>
  <si>
    <t>Roedd Dodgeball yn arwain ymhlith bechgyn (a ddewiswyd 46 tro), ac arweiniodd Sglefrio Iâ ymhlith merched (fe’i dewiswyd 47 tro), ar draws yr ysgol gyfan.</t>
  </si>
  <si>
    <t>“Dodgeball” left in English by the translator vs the survey's Welsh label “Pêl osgoi”; “yn arwain / arweiniodd” (led) vs the attested “ar y brig” (SYN-08 contrast pattern with tra bo); “a ddewiswyd 46 tro” vs “46 o ddewisiadau”.</t>
  </si>
  <si>
    <t>T18</t>
  </si>
  <si>
    <t>Dodgeball oedd y prif gamp â galw heb ei fodloni amdani a ddewiswyd amlaf gan fechgyn …</t>
  </si>
  <si>
    <t>Pêl osgoi oedd y gamp gyntaf a ddewiswyd amlaf fel camp yr oedd galw amdani heb ei fodloni ymhlith bechgyn …</t>
  </si>
  <si>
    <t>“y prif gamp” (the main sport) vs the engine's ordinal “y gamp gyntaf” (the first …) for “the first most frequently selected”; both keep the feminine agreement “amdani”.</t>
  </si>
  <si>
    <t>T19</t>
  </si>
  <si>
    <t>Dodgeball oedd â’r nifer fwyaf ar gyfer galw heb ei fodloni (81 disgybl), a Tennis oedd â’r nifer fwyaf yn cymryd rhan yn bresennol (273) …</t>
  </si>
  <si>
    <t>Pêl osgoi oedd â’r galw mwyaf heb ei fodloni (81 disgybl), tra bo tennis â’r cyfranogiad presennol uchaf (273), …</t>
  </si>
  <si>
    <t>“â’r nifer fwyaf ar gyfer galw” (the largest number for demand) vs “â’r galw mwyaf” (the largest demand); “a Tennis oedd …” vs the contrast “tra bo tennis …” (SYN-08, D12).</t>
  </si>
  <si>
    <t>Glossary — the terms used in this workbook</t>
  </si>
  <si>
    <t>Plain-English meanings of the words we use on the other sheets. Nothing to fill in here.</t>
  </si>
  <si>
    <t>Term</t>
  </si>
  <si>
    <t>Meaning</t>
  </si>
  <si>
    <t>Report / Interactive Learning Report</t>
  </si>
  <si>
    <t>The web page each school receives. It has a filter panel on the right; changing a filter changes every chart AND every written sentence.</t>
  </si>
  <si>
    <t>View</t>
  </si>
  <si>
    <t>One combination of filters — for example “Year 5 · Girls” or “Whole school · All pupils · Selected Football”. The report has 8,568 possible views for this school.</t>
  </si>
  <si>
    <t>Generated sentence</t>
  </si>
  <si>
    <t>A Welsh sentence written by our software from a fact in the data (a count, a comparison, a ranking), using the rules on sheet 4. There are about 300,000 of them in this one school’s report, so they cannot be translated one by one.</t>
  </si>
  <si>
    <t>Page text / static text</t>
  </si>
  <si>
    <t>Text that is the same in every view: headings, the guide, the introduction and notes. Most was translated in the earlier document; sheets 1–3 cover checks, wording decisions and the remaining untranslated text.</t>
  </si>
  <si>
    <t>Frame</t>
  </si>
  <si>
    <t>A sentence with placeholders that the software fills in — for example “Based on: {n} pupils”. The placeholders look like {n}, {school}, {value} and must be kept exactly.</t>
  </si>
  <si>
    <t>Answer label / answer option</t>
  </si>
  <si>
    <t>The wording of an answer in the survey (“Llawer”, “Dim o gwbl”, “Pe bai mwy o chwaraeon rydw i’n eu hoffi”). The report quotes these inside sentences.</t>
  </si>
  <si>
    <t>Base</t>
  </si>
  <si>
    <t>The number of pupils a chart or sentence is based on — “Based on: 366 pupils”.</t>
  </si>
  <si>
    <t>Filter group / cohort</t>
  </si>
  <si>
    <t>A group of pupils chosen from a chart or the “Pupil group” list — for example pupils who chose Football, or pupils with a disability.</t>
  </si>
  <si>
    <t>Suppressed / hidden</t>
  </si>
  <si>
    <t>Results for fewer than five pupils are not shown, to protect the pupils’ identity. The report shows “—” or a grey bar instead.</t>
  </si>
  <si>
    <t>Mutation (treiglad)</t>
  </si>
  <si>
    <t>The change to the first letter of a Welsh word after certain words (o ddisgyblion, y gamp, ym Mlwyddyn 8). Our software applies these by rule; sheet 4 lists the rules.</t>
  </si>
  <si>
    <t>Setting (lleoliad)</t>
  </si>
  <si>
    <t>Where sport happens: PE and lesson time, a school sports club, a club outside school, or somewhere else.</t>
  </si>
  <si>
    <t>Key (ui034, ui.doc_title …)</t>
  </si>
  <si>
    <t>Our reference code for a piece of text. Please leave the keys as they are — we use them to put your Welsh in the right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</si>
</sst>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6">
    <font>
      <sz val="11"/>
      <color theme="1"/>
      <name val="Calibri"/>
    </font>
    <font>
      <sz val="10"/>
      <name val="Arial"/>
    </font>
    <font>
      <b/>
      <sz val="15"/>
      <color rgb="FF094B68"/>
      <name val="Arial"/>
    </font>
    <font>
      <i/>
      <sz val="10"/>
      <name val="Arial"/>
    </font>
    <font>
      <b/>
      <sz val="11"/>
      <color rgb="FF094B68"/>
      <name val="Arial"/>
    </font>
    <font>
      <b/>
      <sz val="10"/>
      <color rgb="FFFFFFFF"/>
      <name val="Arial"/>
    </font>
    <font>
      <i/>
      <sz val="9"/>
      <name val="Arial"/>
    </font>
    <font>
      <b/>
      <sz val="14"/>
      <color rgb="FF094B68"/>
      <name val="Arial"/>
    </font>
    <font>
      <b/>
      <sz val="10"/>
      <name val="Arial"/>
    </font>
    <font>
      <b/>
      <sz val="10"/>
      <color rgb="FFB3261E"/>
      <name val="Arial"/>
    </font>
    <font>
      <b/>
      <sz val="10"/>
      <color rgb="FF094B68"/>
      <name val="Arial"/>
    </font>
    <font>
      <sz val="10"/>
      <color rgb="FFB3261E"/>
      <name val="Arial"/>
    </font>
    <font>
      <i/>
      <sz val="9"/>
      <color rgb="FF444444"/>
      <name val="Arial"/>
    </font>
    <font>
      <b/>
      <sz val="10"/>
      <color rgb="FF7F6000"/>
      <name val="Arial"/>
    </font>
    <font>
      <sz val="11"/>
      <color rgb="FF242424"/>
      <name val="Aptos Narrow"/>
      <charset val="1"/>
    </font>
    <font>
      <sz val="10"/>
      <color rgb="FF000000"/>
      <name val="Arial"/>
      <charset val="1"/>
    </font>
  </fonts>
  <fills count="9">
    <fill>
      <patternFill patternType="none"/>
    </fill>
    <fill>
      <patternFill patternType="gray125"/>
    </fill>
    <fill>
      <patternFill patternType="solid">
        <fgColor rgb="FFEAF1F5"/>
      </patternFill>
    </fill>
    <fill>
      <patternFill patternType="solid">
        <fgColor rgb="FFF2F2F2"/>
      </patternFill>
    </fill>
    <fill>
      <patternFill patternType="solid">
        <fgColor rgb="FF4A6472"/>
      </patternFill>
    </fill>
    <fill>
      <patternFill patternType="solid">
        <fgColor rgb="FFFFF2CC"/>
      </patternFill>
    </fill>
    <fill>
      <patternFill patternType="solid">
        <fgColor rgb="FFD9E2E8"/>
      </patternFill>
    </fill>
    <fill>
      <patternFill patternType="solid">
        <fgColor rgb="FF094B68"/>
      </patternFill>
    </fill>
    <fill>
      <patternFill patternType="solid">
        <fgColor rgb="FFFFFFFF"/>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xf numFmtId="167" fontId="1" fillId="0" borderId="0" applyBorder="0" applyAlignment="0" applyProtection="0"/>
    <xf numFmtId="165" fontId="1" fillId="0" borderId="0" applyBorder="0" applyAlignment="0" applyProtection="0"/>
    <xf numFmtId="166" fontId="1" fillId="0" borderId="0" applyBorder="0" applyAlignment="0" applyProtection="0"/>
    <xf numFmtId="164" fontId="1" fillId="0" borderId="0" applyBorder="0" applyAlignment="0" applyProtection="0"/>
    <xf numFmtId="9" fontId="1" fillId="0" borderId="0" applyBorder="0" applyAlignment="0" applyProtection="0"/>
  </cellStyleXfs>
  <cellXfs count="29">
    <xf numFmtId="0" fontId="0" fillId="0" borderId="0" xfId="0"/>
    <xf numFmtId="0" fontId="6" fillId="0" borderId="0" xfId="0" applyFont="1"/>
    <xf numFmtId="0" fontId="8" fillId="0" borderId="1" xfId="0" applyFont="1" applyBorder="1" applyAlignment="1">
      <alignment vertical="top" wrapText="1"/>
    </xf>
    <xf numFmtId="0" fontId="9" fillId="0" borderId="1" xfId="0" applyFont="1" applyBorder="1" applyAlignment="1">
      <alignment vertical="top" wrapText="1"/>
    </xf>
    <xf numFmtId="0" fontId="5" fillId="4" borderId="1" xfId="0" applyFont="1" applyFill="1" applyBorder="1" applyAlignment="1">
      <alignment vertical="center" wrapText="1"/>
    </xf>
    <xf numFmtId="0" fontId="8" fillId="0" borderId="0" xfId="0" applyFont="1"/>
    <xf numFmtId="0" fontId="11" fillId="0" borderId="1" xfId="0" applyFont="1" applyBorder="1" applyAlignment="1">
      <alignment vertical="top" wrapText="1"/>
    </xf>
    <xf numFmtId="0" fontId="5" fillId="7" borderId="1" xfId="0" applyFont="1" applyFill="1" applyBorder="1" applyAlignment="1">
      <alignment vertical="center" wrapText="1"/>
    </xf>
    <xf numFmtId="0" fontId="14" fillId="0" borderId="0" xfId="0" applyFont="1"/>
    <xf numFmtId="0" fontId="5" fillId="7" borderId="1" xfId="0" applyFont="1" applyFill="1" applyBorder="1"/>
    <xf numFmtId="0" fontId="1" fillId="0" borderId="1" xfId="0" applyFont="1" applyBorder="1" applyAlignment="1">
      <alignment vertical="top" wrapText="1"/>
    </xf>
    <xf numFmtId="0" fontId="1" fillId="5" borderId="1" xfId="0" applyFont="1" applyFill="1" applyBorder="1" applyAlignment="1">
      <alignment vertical="top" wrapText="1"/>
    </xf>
    <xf numFmtId="0" fontId="1" fillId="3" borderId="1" xfId="0" applyFont="1" applyFill="1" applyBorder="1" applyAlignment="1">
      <alignment vertical="top" wrapText="1"/>
    </xf>
    <xf numFmtId="0" fontId="15" fillId="0" borderId="0" xfId="0" applyFont="1"/>
    <xf numFmtId="0" fontId="14" fillId="8" borderId="0" xfId="0" applyFont="1" applyFill="1" applyAlignment="1">
      <alignment wrapText="1"/>
    </xf>
    <xf numFmtId="0" fontId="14" fillId="8" borderId="0" xfId="0" applyFont="1" applyFill="1" applyAlignment="1">
      <alignment vertical="top" wrapText="1"/>
    </xf>
    <xf numFmtId="0" fontId="1" fillId="2" borderId="0" xfId="0" applyFont="1" applyFill="1" applyAlignment="1">
      <alignment vertical="top" wrapText="1"/>
    </xf>
    <xf numFmtId="0" fontId="13" fillId="5" borderId="2" xfId="0" applyFont="1" applyFill="1" applyBorder="1" applyAlignment="1">
      <alignment vertical="center" wrapText="1"/>
    </xf>
    <xf numFmtId="0" fontId="13" fillId="5" borderId="3" xfId="0" applyFont="1" applyFill="1" applyBorder="1" applyAlignment="1">
      <alignment vertical="center" wrapText="1"/>
    </xf>
    <xf numFmtId="0" fontId="13" fillId="5" borderId="4" xfId="0" applyFont="1" applyFill="1" applyBorder="1" applyAlignment="1">
      <alignment vertical="center" wrapText="1"/>
    </xf>
    <xf numFmtId="0" fontId="12" fillId="0" borderId="0" xfId="0" applyFont="1" applyAlignment="1">
      <alignment vertical="center" wrapText="1"/>
    </xf>
    <xf numFmtId="0" fontId="8" fillId="2" borderId="0" xfId="0" applyFont="1" applyFill="1" applyAlignment="1">
      <alignment vertical="top" wrapText="1"/>
    </xf>
    <xf numFmtId="0" fontId="10" fillId="6" borderId="0" xfId="0" applyFont="1" applyFill="1" applyAlignment="1">
      <alignment vertical="top" wrapText="1"/>
    </xf>
    <xf numFmtId="0" fontId="10" fillId="6" borderId="0" xfId="0" applyFont="1" applyFill="1" applyAlignment="1">
      <alignment vertical="center" wrapText="1"/>
    </xf>
    <xf numFmtId="0" fontId="2" fillId="0" borderId="0" xfId="0" applyFont="1" applyAlignment="1"/>
    <xf numFmtId="0" fontId="3" fillId="0" borderId="0" xfId="0" applyFont="1" applyAlignment="1"/>
    <xf numFmtId="0" fontId="4" fillId="0" borderId="0" xfId="0" applyFont="1" applyAlignment="1"/>
    <xf numFmtId="0" fontId="7" fillId="0" borderId="0" xfId="0" applyFont="1" applyAlignment="1"/>
    <xf numFmtId="0" fontId="6" fillId="0" borderId="0" xfId="0" applyFont="1" applyAlignment="1"/>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A2A3C"/>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1F5"/>
      <rgbColor rgb="FF660066"/>
      <rgbColor rgb="FFFF8080"/>
      <rgbColor rgb="FF0066CC"/>
      <rgbColor rgb="FFD9E2E8"/>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EBD06"/>
      <rgbColor rgb="FFFF9900"/>
      <rgbColor rgb="FFFF6600"/>
      <rgbColor rgb="FF4A6472"/>
      <rgbColor rgb="FFB3B3B3"/>
      <rgbColor rgb="FF094B68"/>
      <rgbColor rgb="FF339966"/>
      <rgbColor rgb="FF003300"/>
      <rgbColor rgb="FF333300"/>
      <rgbColor rgb="FFB326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94B68"/>
  </sheetPr>
  <dimension ref="A1:E34"/>
  <sheetViews>
    <sheetView tabSelected="1" workbookViewId="0">
      <selection sqref="A1:E1"/>
    </sheetView>
  </sheetViews>
  <sheetFormatPr defaultColWidth="8.7109375" defaultRowHeight="15"/>
  <cols>
    <col min="1" max="1" width="4" customWidth="1"/>
    <col min="2" max="2" width="44" customWidth="1"/>
    <col min="3" max="5" width="30" customWidth="1"/>
  </cols>
  <sheetData>
    <row r="1" spans="1:5" ht="25.5" customHeight="1">
      <c r="A1" s="24" t="s">
        <v>0</v>
      </c>
      <c r="B1" s="24"/>
      <c r="C1" s="24"/>
      <c r="D1" s="24"/>
      <c r="E1" s="24"/>
    </row>
    <row r="2" spans="1:5">
      <c r="A2" s="25" t="s">
        <v>1</v>
      </c>
      <c r="B2" s="25"/>
      <c r="C2" s="25"/>
      <c r="D2" s="25"/>
      <c r="E2" s="25"/>
    </row>
    <row r="4" spans="1:5">
      <c r="A4" s="26" t="s">
        <v>2</v>
      </c>
      <c r="B4" s="26"/>
      <c r="C4" s="26"/>
      <c r="D4" s="26"/>
      <c r="E4" s="26"/>
    </row>
    <row r="5" spans="1:5" ht="45.75" customHeight="1">
      <c r="A5" s="16" t="s">
        <v>3</v>
      </c>
      <c r="B5" s="16"/>
      <c r="C5" s="16"/>
      <c r="D5" s="16"/>
      <c r="E5" s="16"/>
    </row>
    <row r="7" spans="1:5">
      <c r="A7" s="26" t="s">
        <v>4</v>
      </c>
      <c r="B7" s="26"/>
      <c r="C7" s="26"/>
      <c r="D7" s="26"/>
      <c r="E7" s="26"/>
    </row>
    <row r="8" spans="1:5" ht="45.75" customHeight="1">
      <c r="A8" s="16" t="s">
        <v>5</v>
      </c>
      <c r="B8" s="16"/>
      <c r="C8" s="16"/>
      <c r="D8" s="16"/>
      <c r="E8" s="16"/>
    </row>
    <row r="10" spans="1:5">
      <c r="A10" s="26" t="s">
        <v>6</v>
      </c>
      <c r="B10" s="26"/>
      <c r="C10" s="26"/>
      <c r="D10" s="26"/>
      <c r="E10" s="26"/>
    </row>
    <row r="11" spans="1:5" ht="73.5" customHeight="1">
      <c r="A11" s="16" t="s">
        <v>7</v>
      </c>
      <c r="B11" s="16"/>
      <c r="C11" s="16"/>
      <c r="D11" s="16"/>
      <c r="E11" s="16"/>
    </row>
    <row r="13" spans="1:5">
      <c r="A13" s="26" t="s">
        <v>8</v>
      </c>
      <c r="B13" s="26"/>
      <c r="C13" s="26"/>
      <c r="D13" s="26"/>
      <c r="E13" s="26"/>
    </row>
    <row r="14" spans="1:5" ht="171.75" customHeight="1">
      <c r="A14" s="16" t="s">
        <v>9</v>
      </c>
      <c r="B14" s="16"/>
      <c r="C14" s="16"/>
      <c r="D14" s="16"/>
      <c r="E14" s="16"/>
    </row>
    <row r="16" spans="1:5">
      <c r="A16" s="26" t="s">
        <v>10</v>
      </c>
      <c r="B16" s="26"/>
      <c r="C16" s="26"/>
      <c r="D16" s="26"/>
      <c r="E16" s="26"/>
    </row>
    <row r="17" spans="1:5" ht="102" customHeight="1">
      <c r="A17" s="16" t="s">
        <v>11</v>
      </c>
      <c r="B17" s="16"/>
      <c r="C17" s="16"/>
      <c r="D17" s="16"/>
      <c r="E17" s="16"/>
    </row>
    <row r="19" spans="1:5">
      <c r="A19" s="26" t="s">
        <v>12</v>
      </c>
      <c r="B19" s="26"/>
      <c r="C19" s="26"/>
      <c r="D19" s="26"/>
      <c r="E19" s="26"/>
    </row>
    <row r="20" spans="1:5" ht="60" customHeight="1">
      <c r="A20" s="16" t="s">
        <v>13</v>
      </c>
      <c r="B20" s="16"/>
      <c r="C20" s="16"/>
      <c r="D20" s="16"/>
      <c r="E20" s="16"/>
    </row>
    <row r="22" spans="1:5">
      <c r="A22" s="26" t="s">
        <v>14</v>
      </c>
      <c r="B22" s="26"/>
      <c r="C22" s="26"/>
      <c r="D22" s="26"/>
      <c r="E22" s="26"/>
    </row>
    <row r="23" spans="1:5" ht="31.5" customHeight="1">
      <c r="A23" s="16" t="s">
        <v>15</v>
      </c>
      <c r="B23" s="16"/>
      <c r="C23" s="16"/>
      <c r="D23" s="16"/>
      <c r="E23" s="16"/>
    </row>
    <row r="25" spans="1:5">
      <c r="A25" s="26" t="s">
        <v>16</v>
      </c>
      <c r="B25" s="26"/>
      <c r="C25" s="26"/>
      <c r="D25" s="26"/>
      <c r="E25" s="26"/>
    </row>
    <row r="26" spans="1:5">
      <c r="A26" s="9" t="s">
        <v>17</v>
      </c>
      <c r="B26" s="9" t="s">
        <v>18</v>
      </c>
      <c r="C26" s="9" t="s">
        <v>19</v>
      </c>
      <c r="D26" s="9" t="s">
        <v>20</v>
      </c>
      <c r="E26" s="9" t="s">
        <v>21</v>
      </c>
    </row>
    <row r="27" spans="1:5">
      <c r="A27" s="10" t="s">
        <v>22</v>
      </c>
      <c r="B27" s="10" t="s">
        <v>23</v>
      </c>
      <c r="C27" s="10">
        <f>COUNTA('1 Confirm corrections'!G7:G25)</f>
        <v>19</v>
      </c>
      <c r="D27" s="10">
        <v>19</v>
      </c>
      <c r="E27" s="10" t="str">
        <f>IF(C27=0,"Not started",IF(C27&lt;D27,"In progress",IF(OR(COUNTA('1 Confirm corrections'!H10,'1 Confirm corrections'!H14,'1 Confirm corrections'!H16,'1 Confirm corrections'!H19,'1 Confirm corrections'!H21)&lt;5,COUNTIFS('1 Confirm corrections'!G7:G25,"Use my version below")&gt;COUNTIFS('1 Confirm corrections'!G7:G25,"Use my version below",'1 Confirm corrections'!H7:H25,"&lt;&gt;"),COUNTIFS('1 Confirm corrections'!G7:G25,"Not sure — see comment")&gt;COUNTIFS('1 Confirm corrections'!G7:G25,"Not sure — see comment",'1 Confirm corrections'!I7:I25,"&lt;&gt;")),"Follow-up needed","Complete")))</f>
        <v>Complete</v>
      </c>
    </row>
    <row r="28" spans="1:5">
      <c r="A28" s="10" t="s">
        <v>24</v>
      </c>
      <c r="B28" s="10" t="s">
        <v>25</v>
      </c>
      <c r="C28" s="10">
        <f>COUNTA('2 Decide wording'!G7:G37)+COUNTA('2 Decide wording'!G40:G44)</f>
        <v>36</v>
      </c>
      <c r="D28" s="10">
        <v>36</v>
      </c>
      <c r="E28" s="10" t="str">
        <f>IF(C28=0,"Not started",IF(C28&lt;D28,"In progress",IF(OR(COUNTIFS('2 Decide wording'!G7:G37,"Use my version below")&gt;COUNTIFS('2 Decide wording'!G7:G37,"Use my version below",'2 Decide wording'!H7:H37,"&lt;&gt;"),COUNTIFS('2 Decide wording'!G7:G37,"Not sure — see comment")&gt;COUNTIFS('2 Decide wording'!G7:G37,"Not sure — see comment",'2 Decide wording'!I7:I37,"&lt;&gt;"),COUNTIFS('2 Decide wording'!G40:G44,"See my answer in the next column")&gt;COUNTIFS('2 Decide wording'!G40:G44,"See my answer in the next column",'2 Decide wording'!H40:H44,"&lt;&gt;"),COUNTIFS('2 Decide wording'!G40:G44,"Not sure — see comment")&gt;COUNTIFS('2 Decide wording'!G40:G44,"Not sure — see comment",'2 Decide wording'!I40:I44,"&lt;&gt;")),"Follow-up needed","Complete")))</f>
        <v>Complete</v>
      </c>
    </row>
    <row r="29" spans="1:5">
      <c r="A29" s="10" t="s">
        <v>26</v>
      </c>
      <c r="B29" s="10" t="s">
        <v>27</v>
      </c>
      <c r="C29" s="10">
        <f>COUNTA('2b Answer labels'!O7:O78)+COUNTIFS('2b Answer labels'!C7:C78,"&lt;&gt;—",'2b Answer labels'!P7:P78,"&lt;&gt;")</f>
        <v>116</v>
      </c>
      <c r="D29" s="10">
        <v>116</v>
      </c>
      <c r="E29" s="10" t="str">
        <f>IF(C29=0,"Not started",IF(C29&lt;D29,"In progress",IF(OR(COUNTIFS('2b Answer labels'!O7:O78,"Other / not sure — see comment")&gt;COUNTIFS('2b Answer labels'!O7:O78,"Other / not sure — see comment",'2b Answer labels'!Q7:Q78,"&lt;&gt;"),COUNTIFS('2b Answer labels'!P7:P78,"Use my wording in Comment")&gt;COUNTIFS('2b Answer labels'!P7:P78,"Use my wording in Comment",'2b Answer labels'!Q7:Q78,"&lt;&gt;"),COUNTIFS('2b Answer labels'!P7:P78,"Not sure — see comment")&gt;COUNTIFS('2b Answer labels'!P7:P78,"Not sure — see comment",'2b Answer labels'!Q7:Q78,"&lt;&gt;")),"Follow-up needed","Complete")))</f>
        <v>Complete</v>
      </c>
    </row>
    <row r="30" spans="1:5">
      <c r="A30" s="10" t="s">
        <v>28</v>
      </c>
      <c r="B30" s="10" t="s">
        <v>29</v>
      </c>
      <c r="C30" s="10">
        <f>COUNTA('3 Translate'!E7:E70)</f>
        <v>56</v>
      </c>
      <c r="D30" s="10">
        <v>56</v>
      </c>
      <c r="E30" s="10" t="str">
        <f>IF(C30&gt;=D30,"Complete",IF(C30=0,"Not started","In progress"))</f>
        <v>Complete</v>
      </c>
    </row>
    <row r="31" spans="1:5">
      <c r="A31" s="10" t="s">
        <v>30</v>
      </c>
      <c r="B31" s="10" t="s">
        <v>31</v>
      </c>
      <c r="C31" s="10">
        <f>COUNTA('4 Check the rules'!F7:F49)</f>
        <v>43</v>
      </c>
      <c r="D31" s="10">
        <v>43</v>
      </c>
      <c r="E31" s="10" t="str">
        <f>IF(C31=0,"Not started",IF(C31&lt;D31,"In progress",IF(OR(COUNTIFS('4 Check the rules'!F7:F49,"Wrong")&gt;COUNTIFS('4 Check the rules'!F7:F49,"Wrong",'4 Check the rules'!G7:G49,"&lt;&gt;"),COUNTIFS('4 Check the rules'!F7:F49,"Not sure")&gt;COUNTIFS('4 Check the rules'!F7:F49,"Not sure",'4 Check the rules'!G7:G49,"&lt;&gt;")),"Follow-up needed","Complete")))</f>
        <v>Complete</v>
      </c>
    </row>
    <row r="32" spans="1:5">
      <c r="A32" s="10" t="s">
        <v>32</v>
      </c>
      <c r="B32" s="10" t="s">
        <v>33</v>
      </c>
      <c r="C32" s="10">
        <f>COUNTA('5 Check sentences'!F7:F43)+COUNTA('5 Check sentences'!F46:F64)</f>
        <v>56</v>
      </c>
      <c r="D32" s="10">
        <v>56</v>
      </c>
      <c r="E32" s="10" t="str">
        <f>IF(C32=0,"Not started",IF(C32&lt;D32,"In progress",IF(OR(COUNTIFS('5 Check sentences'!F7:F43,"Needs change")&gt;COUNTIFS('5 Check sentences'!F7:F43,"Needs change",'5 Check sentences'!G7:G43,"&lt;&gt;"),COUNTIFS('5 Check sentences'!F7:F43,"Not sure")&gt;COUNTIFS('5 Check sentences'!F7:F43,"Not sure",'5 Check sentences'!H7:H43,"&lt;&gt;"),COUNTIFS('5 Check sentences'!F46:F64,"Neither — see my version")&gt;COUNTIFS('5 Check sentences'!F46:F64,"Neither — see my version",'5 Check sentences'!G46:G64,"&lt;&gt;"),COUNTIFS('5 Check sentences'!F46:F64,"Not sure")&gt;COUNTIFS('5 Check sentences'!F46:F64,"Not sure",'5 Check sentences'!H46:H64,"&lt;&gt;")),"Follow-up needed","Complete")))</f>
        <v>Complete</v>
      </c>
    </row>
    <row r="34" spans="2:5" ht="33.950000000000003" customHeight="1">
      <c r="B34" s="20" t="s">
        <v>34</v>
      </c>
      <c r="C34" s="20" t="s">
        <v>34</v>
      </c>
      <c r="D34" s="20" t="s">
        <v>34</v>
      </c>
      <c r="E34" s="20" t="s">
        <v>34</v>
      </c>
    </row>
  </sheetData>
  <mergeCells count="18">
    <mergeCell ref="A23:E23"/>
    <mergeCell ref="A25:E25"/>
    <mergeCell ref="B34:E34"/>
    <mergeCell ref="A16:E16"/>
    <mergeCell ref="A17:E17"/>
    <mergeCell ref="A19:E19"/>
    <mergeCell ref="A20:E20"/>
    <mergeCell ref="A22:E22"/>
    <mergeCell ref="A8:E8"/>
    <mergeCell ref="A10:E10"/>
    <mergeCell ref="A11:E11"/>
    <mergeCell ref="A13:E13"/>
    <mergeCell ref="A14:E14"/>
    <mergeCell ref="A1:E1"/>
    <mergeCell ref="A2:E2"/>
    <mergeCell ref="A4:E4"/>
    <mergeCell ref="A5:E5"/>
    <mergeCell ref="A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A2A3C"/>
  </sheetPr>
  <dimension ref="A1:I27"/>
  <sheetViews>
    <sheetView workbookViewId="0">
      <pane ySplit="6" topLeftCell="A7" activePane="bottomLeft" state="frozen"/>
      <selection pane="bottomLeft" activeCell="A5" sqref="A5"/>
    </sheetView>
  </sheetViews>
  <sheetFormatPr defaultColWidth="8.7109375" defaultRowHeight="15"/>
  <cols>
    <col min="1" max="1" width="16" customWidth="1"/>
    <col min="2" max="2" width="30" customWidth="1"/>
    <col min="3" max="4" width="44" customWidth="1"/>
    <col min="5" max="5" width="40" customWidth="1"/>
    <col min="6" max="6" width="34" customWidth="1"/>
    <col min="7" max="7" width="22" customWidth="1"/>
    <col min="8" max="8" width="44" customWidth="1"/>
    <col min="9" max="9" width="30" customWidth="1"/>
  </cols>
  <sheetData>
    <row r="1" spans="1:9" ht="24" customHeight="1">
      <c r="A1" s="27" t="s">
        <v>35</v>
      </c>
      <c r="B1" s="27"/>
      <c r="C1" s="27"/>
      <c r="D1" s="27"/>
      <c r="E1" s="27"/>
      <c r="F1" s="27"/>
      <c r="G1" s="27"/>
      <c r="H1" s="27"/>
      <c r="I1" s="27"/>
    </row>
    <row r="2" spans="1:9" ht="31.5" customHeight="1">
      <c r="A2" s="16" t="s">
        <v>36</v>
      </c>
      <c r="B2" s="16"/>
      <c r="C2" s="16"/>
      <c r="D2" s="16"/>
      <c r="E2" s="16"/>
      <c r="F2" s="16"/>
      <c r="G2" s="16"/>
      <c r="H2" s="16"/>
      <c r="I2" s="16"/>
    </row>
    <row r="3" spans="1:9" ht="18" customHeight="1">
      <c r="A3" s="21" t="s">
        <v>37</v>
      </c>
      <c r="B3" s="21"/>
      <c r="C3" s="21"/>
      <c r="D3" s="21"/>
      <c r="E3" s="21"/>
      <c r="F3" s="21"/>
      <c r="G3" s="21"/>
      <c r="H3" s="21"/>
      <c r="I3" s="21"/>
    </row>
    <row r="4" spans="1:9" ht="18" customHeight="1">
      <c r="A4" s="16" t="s">
        <v>38</v>
      </c>
      <c r="B4" s="16"/>
      <c r="C4" s="16"/>
      <c r="D4" s="16"/>
      <c r="E4" s="16"/>
      <c r="F4" s="16"/>
      <c r="G4" s="16"/>
      <c r="H4" s="16"/>
      <c r="I4" s="16"/>
    </row>
    <row r="5" spans="1:9" ht="33.950000000000003" customHeight="1">
      <c r="A5" s="17" t="s">
        <v>39</v>
      </c>
      <c r="B5" s="18" t="s">
        <v>39</v>
      </c>
      <c r="C5" s="18" t="s">
        <v>39</v>
      </c>
      <c r="D5" s="18" t="s">
        <v>39</v>
      </c>
      <c r="E5" s="18" t="s">
        <v>39</v>
      </c>
      <c r="F5" s="18" t="s">
        <v>39</v>
      </c>
      <c r="G5" s="18" t="s">
        <v>39</v>
      </c>
      <c r="H5" s="18" t="s">
        <v>39</v>
      </c>
      <c r="I5" s="19" t="s">
        <v>39</v>
      </c>
    </row>
    <row r="6" spans="1:9" ht="31.5" customHeight="1">
      <c r="A6" s="7" t="s">
        <v>40</v>
      </c>
      <c r="B6" s="7" t="s">
        <v>41</v>
      </c>
      <c r="C6" s="7" t="s">
        <v>42</v>
      </c>
      <c r="D6" s="7" t="s">
        <v>43</v>
      </c>
      <c r="E6" s="7" t="s">
        <v>44</v>
      </c>
      <c r="F6" s="7" t="s">
        <v>45</v>
      </c>
      <c r="G6" s="7" t="s">
        <v>46</v>
      </c>
      <c r="H6" s="7" t="s">
        <v>47</v>
      </c>
      <c r="I6" s="7" t="s">
        <v>48</v>
      </c>
    </row>
    <row r="7" spans="1:9" ht="147" customHeight="1">
      <c r="A7" s="2" t="s">
        <v>49</v>
      </c>
      <c r="B7" s="10" t="s">
        <v>50</v>
      </c>
      <c r="C7" s="10" t="s">
        <v>51</v>
      </c>
      <c r="D7" s="10" t="s">
        <v>52</v>
      </c>
      <c r="E7" s="10" t="s">
        <v>53</v>
      </c>
      <c r="F7" s="10" t="s">
        <v>54</v>
      </c>
      <c r="G7" s="11" t="s">
        <v>55</v>
      </c>
      <c r="H7" s="11"/>
      <c r="I7" s="11"/>
    </row>
    <row r="8" spans="1:9" ht="147" customHeight="1">
      <c r="A8" s="2" t="s">
        <v>56</v>
      </c>
      <c r="B8" s="10" t="s">
        <v>57</v>
      </c>
      <c r="C8" s="10" t="s">
        <v>58</v>
      </c>
      <c r="D8" s="10" t="s">
        <v>59</v>
      </c>
      <c r="E8" s="10" t="s">
        <v>60</v>
      </c>
      <c r="F8" s="10" t="s">
        <v>61</v>
      </c>
      <c r="G8" s="11" t="s">
        <v>62</v>
      </c>
      <c r="H8" s="8" t="s">
        <v>63</v>
      </c>
      <c r="I8" s="11"/>
    </row>
    <row r="9" spans="1:9" ht="69" customHeight="1">
      <c r="A9" s="2" t="s">
        <v>64</v>
      </c>
      <c r="B9" s="10" t="s">
        <v>65</v>
      </c>
      <c r="C9" s="10" t="s">
        <v>66</v>
      </c>
      <c r="D9" s="10" t="s">
        <v>67</v>
      </c>
      <c r="E9" s="10" t="s">
        <v>68</v>
      </c>
      <c r="F9" s="10" t="s">
        <v>69</v>
      </c>
      <c r="G9" s="11" t="s">
        <v>55</v>
      </c>
      <c r="H9" s="11"/>
      <c r="I9" s="11"/>
    </row>
    <row r="10" spans="1:9" ht="120.75" customHeight="1">
      <c r="A10" s="3" t="s">
        <v>70</v>
      </c>
      <c r="B10" s="10" t="s">
        <v>71</v>
      </c>
      <c r="C10" s="10" t="s">
        <v>72</v>
      </c>
      <c r="D10" s="10" t="s">
        <v>73</v>
      </c>
      <c r="E10" s="10" t="s">
        <v>74</v>
      </c>
      <c r="F10" s="10" t="s">
        <v>75</v>
      </c>
      <c r="G10" s="11" t="s">
        <v>62</v>
      </c>
      <c r="H10" s="13" t="s">
        <v>76</v>
      </c>
      <c r="I10" s="11"/>
    </row>
    <row r="11" spans="1:9" ht="69" customHeight="1">
      <c r="A11" s="2" t="s">
        <v>77</v>
      </c>
      <c r="B11" s="10" t="s">
        <v>78</v>
      </c>
      <c r="C11" s="10" t="s">
        <v>79</v>
      </c>
      <c r="D11" s="10" t="s">
        <v>80</v>
      </c>
      <c r="E11" s="10" t="s">
        <v>81</v>
      </c>
      <c r="F11" s="10" t="s">
        <v>82</v>
      </c>
      <c r="G11" s="11" t="s">
        <v>55</v>
      </c>
      <c r="H11" s="11"/>
      <c r="I11" s="11"/>
    </row>
    <row r="12" spans="1:9" ht="108" customHeight="1">
      <c r="A12" s="2" t="s">
        <v>83</v>
      </c>
      <c r="B12" s="10" t="s">
        <v>84</v>
      </c>
      <c r="C12" s="10" t="s">
        <v>85</v>
      </c>
      <c r="D12" s="10" t="s">
        <v>86</v>
      </c>
      <c r="E12" s="10" t="s">
        <v>87</v>
      </c>
      <c r="F12" s="10" t="s">
        <v>82</v>
      </c>
      <c r="G12" s="11" t="s">
        <v>55</v>
      </c>
      <c r="H12" s="11"/>
      <c r="I12" s="11"/>
    </row>
    <row r="13" spans="1:9" ht="69" customHeight="1">
      <c r="A13" s="2" t="s">
        <v>88</v>
      </c>
      <c r="B13" s="10" t="s">
        <v>89</v>
      </c>
      <c r="C13" s="10" t="s">
        <v>90</v>
      </c>
      <c r="D13" s="10" t="s">
        <v>91</v>
      </c>
      <c r="E13" s="10" t="s">
        <v>92</v>
      </c>
      <c r="F13" s="10" t="s">
        <v>93</v>
      </c>
      <c r="G13" s="11" t="s">
        <v>55</v>
      </c>
      <c r="H13" s="11"/>
      <c r="I13" s="11"/>
    </row>
    <row r="14" spans="1:9" ht="120.75" customHeight="1">
      <c r="A14" s="3" t="s">
        <v>94</v>
      </c>
      <c r="B14" s="10" t="s">
        <v>95</v>
      </c>
      <c r="C14" s="10" t="s">
        <v>96</v>
      </c>
      <c r="D14" s="10" t="s">
        <v>97</v>
      </c>
      <c r="E14" s="10" t="s">
        <v>98</v>
      </c>
      <c r="F14" s="10" t="s">
        <v>99</v>
      </c>
      <c r="G14" s="11" t="s">
        <v>62</v>
      </c>
      <c r="H14" s="13" t="s">
        <v>100</v>
      </c>
      <c r="I14" s="11" t="s">
        <v>101</v>
      </c>
    </row>
    <row r="15" spans="1:9" ht="55.5" customHeight="1">
      <c r="A15" s="2" t="s">
        <v>102</v>
      </c>
      <c r="B15" s="10" t="s">
        <v>103</v>
      </c>
      <c r="C15" s="10" t="s">
        <v>104</v>
      </c>
      <c r="D15" s="10" t="s">
        <v>105</v>
      </c>
      <c r="E15" s="10" t="s">
        <v>106</v>
      </c>
      <c r="F15" s="10" t="s">
        <v>107</v>
      </c>
      <c r="G15" s="11" t="s">
        <v>55</v>
      </c>
      <c r="H15" s="11"/>
      <c r="I15" s="11"/>
    </row>
    <row r="16" spans="1:9" ht="69" customHeight="1">
      <c r="A16" s="3" t="s">
        <v>108</v>
      </c>
      <c r="B16" s="10" t="s">
        <v>109</v>
      </c>
      <c r="C16" s="10" t="s">
        <v>110</v>
      </c>
      <c r="D16" s="10" t="s">
        <v>111</v>
      </c>
      <c r="E16" s="10" t="s">
        <v>112</v>
      </c>
      <c r="F16" s="10" t="s">
        <v>113</v>
      </c>
      <c r="G16" s="11" t="s">
        <v>62</v>
      </c>
      <c r="H16" s="10" t="s">
        <v>114</v>
      </c>
      <c r="I16" s="11" t="s">
        <v>115</v>
      </c>
    </row>
    <row r="17" spans="1:9" ht="81.75" customHeight="1">
      <c r="A17" s="2" t="s">
        <v>116</v>
      </c>
      <c r="B17" s="10" t="s">
        <v>117</v>
      </c>
      <c r="C17" s="10" t="s">
        <v>118</v>
      </c>
      <c r="D17" s="10" t="s">
        <v>119</v>
      </c>
      <c r="E17" s="10" t="s">
        <v>120</v>
      </c>
      <c r="F17" s="10" t="s">
        <v>82</v>
      </c>
      <c r="G17" s="11" t="s">
        <v>55</v>
      </c>
      <c r="H17" s="11"/>
      <c r="I17" s="11"/>
    </row>
    <row r="18" spans="1:9" ht="69" customHeight="1">
      <c r="A18" s="2" t="s">
        <v>121</v>
      </c>
      <c r="B18" s="10" t="s">
        <v>122</v>
      </c>
      <c r="C18" s="10" t="s">
        <v>123</v>
      </c>
      <c r="D18" s="10" t="s">
        <v>124</v>
      </c>
      <c r="E18" s="10" t="s">
        <v>125</v>
      </c>
      <c r="F18" s="10" t="s">
        <v>107</v>
      </c>
      <c r="G18" s="11" t="s">
        <v>55</v>
      </c>
      <c r="H18" s="11"/>
      <c r="I18" s="11"/>
    </row>
    <row r="19" spans="1:9" ht="69" customHeight="1">
      <c r="A19" s="3" t="s">
        <v>126</v>
      </c>
      <c r="B19" s="10" t="s">
        <v>127</v>
      </c>
      <c r="C19" s="10" t="s">
        <v>128</v>
      </c>
      <c r="D19" s="10" t="s">
        <v>129</v>
      </c>
      <c r="E19" s="10" t="s">
        <v>130</v>
      </c>
      <c r="F19" s="10" t="s">
        <v>131</v>
      </c>
      <c r="G19" s="11" t="s">
        <v>62</v>
      </c>
      <c r="H19" s="11" t="s">
        <v>132</v>
      </c>
      <c r="I19" s="11"/>
    </row>
    <row r="20" spans="1:9" ht="55.5" customHeight="1">
      <c r="A20" s="2" t="s">
        <v>133</v>
      </c>
      <c r="B20" s="10" t="s">
        <v>89</v>
      </c>
      <c r="C20" s="10" t="s">
        <v>134</v>
      </c>
      <c r="D20" s="10" t="s">
        <v>135</v>
      </c>
      <c r="E20" s="10" t="s">
        <v>136</v>
      </c>
      <c r="F20" s="10" t="s">
        <v>107</v>
      </c>
      <c r="G20" s="11" t="s">
        <v>55</v>
      </c>
      <c r="H20" s="11"/>
      <c r="I20" s="11"/>
    </row>
    <row r="21" spans="1:9" ht="108" customHeight="1">
      <c r="A21" s="3" t="s">
        <v>137</v>
      </c>
      <c r="B21" s="10" t="s">
        <v>138</v>
      </c>
      <c r="C21" s="10" t="s">
        <v>139</v>
      </c>
      <c r="D21" s="10" t="s">
        <v>140</v>
      </c>
      <c r="E21" s="10" t="s">
        <v>141</v>
      </c>
      <c r="F21" s="10" t="s">
        <v>142</v>
      </c>
      <c r="G21" s="11" t="s">
        <v>62</v>
      </c>
      <c r="H21" s="10" t="s">
        <v>143</v>
      </c>
      <c r="I21" s="11" t="s">
        <v>144</v>
      </c>
    </row>
    <row r="22" spans="1:9" ht="186" customHeight="1">
      <c r="A22" s="2" t="s">
        <v>145</v>
      </c>
      <c r="B22" s="10" t="s">
        <v>146</v>
      </c>
      <c r="C22" s="10" t="s">
        <v>147</v>
      </c>
      <c r="D22" s="10" t="s">
        <v>148</v>
      </c>
      <c r="E22" s="10" t="s">
        <v>149</v>
      </c>
      <c r="F22" s="10" t="s">
        <v>107</v>
      </c>
      <c r="G22" s="11" t="s">
        <v>55</v>
      </c>
      <c r="H22" s="11"/>
      <c r="I22" s="11"/>
    </row>
    <row r="23" spans="1:9" ht="55.5" customHeight="1">
      <c r="A23" s="2" t="s">
        <v>150</v>
      </c>
      <c r="B23" s="10" t="s">
        <v>151</v>
      </c>
      <c r="C23" s="10" t="s">
        <v>152</v>
      </c>
      <c r="D23" s="10" t="s">
        <v>153</v>
      </c>
      <c r="E23" s="10" t="s">
        <v>154</v>
      </c>
      <c r="F23" s="10" t="s">
        <v>107</v>
      </c>
      <c r="G23" s="11" t="s">
        <v>55</v>
      </c>
      <c r="H23" s="11"/>
      <c r="I23" s="11"/>
    </row>
    <row r="24" spans="1:9" ht="69" customHeight="1">
      <c r="A24" s="2" t="s">
        <v>155</v>
      </c>
      <c r="B24" s="10" t="s">
        <v>156</v>
      </c>
      <c r="C24" s="10" t="s">
        <v>157</v>
      </c>
      <c r="D24" s="10" t="s">
        <v>158</v>
      </c>
      <c r="E24" s="10" t="s">
        <v>159</v>
      </c>
      <c r="F24" s="10" t="s">
        <v>160</v>
      </c>
      <c r="G24" s="11" t="s">
        <v>55</v>
      </c>
      <c r="H24" s="11"/>
      <c r="I24" s="11"/>
    </row>
    <row r="25" spans="1:9" ht="55.5" customHeight="1">
      <c r="A25" s="2" t="s">
        <v>161</v>
      </c>
      <c r="B25" s="10" t="s">
        <v>162</v>
      </c>
      <c r="C25" s="10" t="s">
        <v>163</v>
      </c>
      <c r="D25" s="10" t="s">
        <v>164</v>
      </c>
      <c r="E25" s="10" t="s">
        <v>165</v>
      </c>
      <c r="F25" s="10" t="s">
        <v>107</v>
      </c>
      <c r="G25" s="11" t="s">
        <v>55</v>
      </c>
      <c r="H25" s="11"/>
      <c r="I25" s="11"/>
    </row>
    <row r="27" spans="1:9" ht="25.5">
      <c r="A27" s="2" t="s">
        <v>166</v>
      </c>
      <c r="B27" s="1" t="s">
        <v>167</v>
      </c>
      <c r="G27" s="12" t="s">
        <v>55</v>
      </c>
      <c r="H27" s="12" t="s">
        <v>168</v>
      </c>
      <c r="I27" s="12" t="s">
        <v>169</v>
      </c>
    </row>
  </sheetData>
  <mergeCells count="5">
    <mergeCell ref="A1:I1"/>
    <mergeCell ref="A2:I2"/>
    <mergeCell ref="A3:I3"/>
    <mergeCell ref="A4:I4"/>
    <mergeCell ref="A5:I5"/>
  </mergeCells>
  <dataValidations count="1">
    <dataValidation type="list" allowBlank="1" errorTitle="Choose from the list" error="Please choose one of the options in the list." sqref="G7:G25" xr:uid="{00000000-0002-0000-0100-000000000000}">
      <formula1>"Keep my wording,Use the reviewer’s suggestion,Use my version below,Not sure — see comment"</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2A3C"/>
  </sheetPr>
  <dimension ref="A1:I49"/>
  <sheetViews>
    <sheetView workbookViewId="0">
      <pane ySplit="6" topLeftCell="E41" activePane="bottomLeft" state="frozen"/>
      <selection pane="bottomLeft" activeCell="H43" sqref="H43"/>
    </sheetView>
  </sheetViews>
  <sheetFormatPr defaultColWidth="8.7109375" defaultRowHeight="15"/>
  <cols>
    <col min="1" max="1" width="18" customWidth="1"/>
    <col min="2" max="2" width="30" customWidth="1"/>
    <col min="3" max="3" width="40" customWidth="1"/>
    <col min="4" max="5" width="44" customWidth="1"/>
    <col min="6" max="6" width="34" customWidth="1"/>
    <col min="7" max="7" width="24" customWidth="1"/>
    <col min="8" max="8" width="44" customWidth="1"/>
    <col min="9" max="9" width="30" customWidth="1"/>
  </cols>
  <sheetData>
    <row r="1" spans="1:9" ht="24" customHeight="1">
      <c r="A1" s="27" t="s">
        <v>170</v>
      </c>
      <c r="B1" s="27"/>
      <c r="C1" s="27"/>
      <c r="D1" s="27"/>
      <c r="E1" s="27"/>
      <c r="F1" s="27"/>
      <c r="G1" s="27"/>
      <c r="H1" s="27"/>
      <c r="I1" s="27"/>
    </row>
    <row r="2" spans="1:9" ht="31.5" customHeight="1">
      <c r="A2" s="16" t="s">
        <v>171</v>
      </c>
      <c r="B2" s="16"/>
      <c r="C2" s="16"/>
      <c r="D2" s="16"/>
      <c r="E2" s="16"/>
      <c r="F2" s="16"/>
      <c r="G2" s="16"/>
      <c r="H2" s="16"/>
      <c r="I2" s="16"/>
    </row>
    <row r="3" spans="1:9" ht="18" customHeight="1">
      <c r="A3" s="21" t="s">
        <v>172</v>
      </c>
      <c r="B3" s="21"/>
      <c r="C3" s="21"/>
      <c r="D3" s="21"/>
      <c r="E3" s="21"/>
      <c r="F3" s="21"/>
      <c r="G3" s="21"/>
      <c r="H3" s="21"/>
      <c r="I3" s="21"/>
    </row>
    <row r="4" spans="1:9" ht="18" customHeight="1">
      <c r="A4" s="16" t="s">
        <v>173</v>
      </c>
      <c r="B4" s="16"/>
      <c r="C4" s="16"/>
      <c r="D4" s="16"/>
      <c r="E4" s="16"/>
      <c r="F4" s="16"/>
      <c r="G4" s="16"/>
      <c r="H4" s="16"/>
      <c r="I4" s="16"/>
    </row>
    <row r="5" spans="1:9" ht="33.950000000000003" customHeight="1">
      <c r="A5" s="17" t="s">
        <v>174</v>
      </c>
      <c r="B5" s="18" t="s">
        <v>174</v>
      </c>
      <c r="C5" s="18" t="s">
        <v>174</v>
      </c>
      <c r="D5" s="18" t="s">
        <v>174</v>
      </c>
      <c r="E5" s="18" t="s">
        <v>174</v>
      </c>
      <c r="F5" s="18" t="s">
        <v>174</v>
      </c>
      <c r="G5" s="18" t="s">
        <v>174</v>
      </c>
      <c r="H5" s="18" t="s">
        <v>174</v>
      </c>
      <c r="I5" s="19" t="s">
        <v>174</v>
      </c>
    </row>
    <row r="6" spans="1:9" ht="31.5" customHeight="1">
      <c r="A6" s="7" t="s">
        <v>40</v>
      </c>
      <c r="B6" s="7" t="s">
        <v>41</v>
      </c>
      <c r="C6" s="7" t="s">
        <v>175</v>
      </c>
      <c r="D6" s="7" t="s">
        <v>43</v>
      </c>
      <c r="E6" s="7" t="s">
        <v>176</v>
      </c>
      <c r="F6" s="7" t="s">
        <v>177</v>
      </c>
      <c r="G6" s="7" t="s">
        <v>46</v>
      </c>
      <c r="H6" s="7" t="s">
        <v>178</v>
      </c>
      <c r="I6" s="7" t="s">
        <v>48</v>
      </c>
    </row>
    <row r="7" spans="1:9" ht="120.75" customHeight="1">
      <c r="A7" s="2" t="s">
        <v>179</v>
      </c>
      <c r="B7" s="10" t="s">
        <v>180</v>
      </c>
      <c r="C7" s="10" t="s">
        <v>181</v>
      </c>
      <c r="D7" s="10" t="s">
        <v>182</v>
      </c>
      <c r="E7" s="10" t="s">
        <v>183</v>
      </c>
      <c r="F7" s="10" t="s">
        <v>184</v>
      </c>
      <c r="G7" s="11" t="s">
        <v>62</v>
      </c>
      <c r="H7" s="10" t="s">
        <v>185</v>
      </c>
      <c r="I7" s="11"/>
    </row>
    <row r="8" spans="1:9" ht="69" customHeight="1">
      <c r="A8" s="2" t="s">
        <v>186</v>
      </c>
      <c r="B8" s="10" t="s">
        <v>187</v>
      </c>
      <c r="C8" s="10" t="s">
        <v>188</v>
      </c>
      <c r="D8" s="10" t="s">
        <v>189</v>
      </c>
      <c r="E8" s="10" t="s">
        <v>190</v>
      </c>
      <c r="F8" s="10" t="s">
        <v>191</v>
      </c>
      <c r="G8" s="11" t="s">
        <v>192</v>
      </c>
      <c r="H8" s="11"/>
      <c r="I8" s="11"/>
    </row>
    <row r="9" spans="1:9" ht="108" customHeight="1">
      <c r="A9" s="2" t="s">
        <v>193</v>
      </c>
      <c r="B9" s="10" t="s">
        <v>194</v>
      </c>
      <c r="C9" s="10" t="s">
        <v>195</v>
      </c>
      <c r="D9" s="10" t="s">
        <v>196</v>
      </c>
      <c r="E9" s="10" t="s">
        <v>197</v>
      </c>
      <c r="F9" s="10" t="s">
        <v>198</v>
      </c>
      <c r="G9" s="11" t="s">
        <v>199</v>
      </c>
      <c r="H9" s="11"/>
      <c r="I9" s="11" t="s">
        <v>200</v>
      </c>
    </row>
    <row r="10" spans="1:9" ht="108" customHeight="1">
      <c r="A10" s="2" t="s">
        <v>201</v>
      </c>
      <c r="B10" s="10" t="s">
        <v>202</v>
      </c>
      <c r="C10" s="10" t="s">
        <v>203</v>
      </c>
      <c r="D10" s="10" t="s">
        <v>204</v>
      </c>
      <c r="E10" s="10" t="s">
        <v>205</v>
      </c>
      <c r="F10" s="10" t="s">
        <v>206</v>
      </c>
      <c r="G10" s="11" t="s">
        <v>192</v>
      </c>
      <c r="H10" s="11"/>
      <c r="I10" s="11"/>
    </row>
    <row r="11" spans="1:9" ht="133.5" customHeight="1">
      <c r="A11" s="2" t="s">
        <v>207</v>
      </c>
      <c r="B11" s="10" t="s">
        <v>208</v>
      </c>
      <c r="C11" s="10" t="s">
        <v>209</v>
      </c>
      <c r="D11" s="10" t="s">
        <v>210</v>
      </c>
      <c r="E11" s="10" t="s">
        <v>211</v>
      </c>
      <c r="F11" s="10" t="s">
        <v>212</v>
      </c>
      <c r="G11" s="11" t="s">
        <v>192</v>
      </c>
      <c r="H11" s="11"/>
      <c r="I11" s="11"/>
    </row>
    <row r="12" spans="1:9" ht="147" customHeight="1">
      <c r="A12" s="2" t="s">
        <v>213</v>
      </c>
      <c r="B12" s="10" t="s">
        <v>214</v>
      </c>
      <c r="C12" s="10" t="s">
        <v>215</v>
      </c>
      <c r="D12" s="10" t="s">
        <v>216</v>
      </c>
      <c r="E12" s="10" t="s">
        <v>217</v>
      </c>
      <c r="F12" s="10" t="s">
        <v>218</v>
      </c>
      <c r="G12" s="11" t="s">
        <v>192</v>
      </c>
      <c r="H12" s="11"/>
      <c r="I12" s="11"/>
    </row>
    <row r="13" spans="1:9" ht="81.75" customHeight="1">
      <c r="A13" s="2" t="s">
        <v>219</v>
      </c>
      <c r="B13" s="10" t="s">
        <v>220</v>
      </c>
      <c r="C13" s="10" t="s">
        <v>221</v>
      </c>
      <c r="D13" s="10" t="s">
        <v>222</v>
      </c>
      <c r="E13" s="10" t="s">
        <v>223</v>
      </c>
      <c r="F13" s="10" t="s">
        <v>224</v>
      </c>
      <c r="G13" s="11" t="s">
        <v>192</v>
      </c>
      <c r="H13" s="11"/>
      <c r="I13" s="11"/>
    </row>
    <row r="14" spans="1:9" ht="186" customHeight="1">
      <c r="A14" s="2" t="s">
        <v>225</v>
      </c>
      <c r="B14" s="10" t="s">
        <v>226</v>
      </c>
      <c r="C14" s="10" t="s">
        <v>227</v>
      </c>
      <c r="D14" s="10" t="s">
        <v>228</v>
      </c>
      <c r="E14" s="10" t="s">
        <v>229</v>
      </c>
      <c r="F14" s="10" t="s">
        <v>230</v>
      </c>
      <c r="G14" s="11" t="s">
        <v>192</v>
      </c>
      <c r="H14" s="11"/>
      <c r="I14" s="11"/>
    </row>
    <row r="15" spans="1:9" ht="42.75" customHeight="1">
      <c r="A15" s="2" t="s">
        <v>231</v>
      </c>
      <c r="B15" s="10" t="s">
        <v>232</v>
      </c>
      <c r="C15" s="10" t="s">
        <v>233</v>
      </c>
      <c r="D15" s="10" t="s">
        <v>234</v>
      </c>
      <c r="E15" s="10" t="s">
        <v>235</v>
      </c>
      <c r="F15" s="10" t="s">
        <v>236</v>
      </c>
      <c r="G15" s="11" t="s">
        <v>192</v>
      </c>
      <c r="H15" s="11"/>
      <c r="I15" s="11"/>
    </row>
    <row r="16" spans="1:9" ht="30" customHeight="1">
      <c r="A16" s="2" t="s">
        <v>237</v>
      </c>
      <c r="B16" s="10" t="s">
        <v>238</v>
      </c>
      <c r="C16" s="10" t="s">
        <v>239</v>
      </c>
      <c r="D16" s="10" t="s">
        <v>240</v>
      </c>
      <c r="E16" s="10" t="s">
        <v>241</v>
      </c>
      <c r="F16" s="10" t="s">
        <v>242</v>
      </c>
      <c r="G16" s="11" t="s">
        <v>192</v>
      </c>
      <c r="H16" s="11"/>
      <c r="I16" s="11"/>
    </row>
    <row r="17" spans="1:9" ht="81.75" customHeight="1">
      <c r="A17" s="2" t="s">
        <v>243</v>
      </c>
      <c r="B17" s="10" t="s">
        <v>244</v>
      </c>
      <c r="C17" s="10" t="s">
        <v>245</v>
      </c>
      <c r="D17" s="10" t="s">
        <v>246</v>
      </c>
      <c r="E17" s="10" t="s">
        <v>247</v>
      </c>
      <c r="F17" s="10" t="s">
        <v>248</v>
      </c>
      <c r="G17" s="11" t="s">
        <v>192</v>
      </c>
      <c r="H17" s="11"/>
      <c r="I17" s="11"/>
    </row>
    <row r="18" spans="1:9" ht="69" customHeight="1">
      <c r="A18" s="2" t="s">
        <v>249</v>
      </c>
      <c r="B18" s="10" t="s">
        <v>250</v>
      </c>
      <c r="C18" s="10" t="s">
        <v>251</v>
      </c>
      <c r="D18" s="10" t="s">
        <v>252</v>
      </c>
      <c r="E18" s="10" t="s">
        <v>253</v>
      </c>
      <c r="F18" s="10" t="s">
        <v>254</v>
      </c>
      <c r="G18" s="11" t="s">
        <v>192</v>
      </c>
      <c r="H18" s="11"/>
      <c r="I18" s="11"/>
    </row>
    <row r="19" spans="1:9" ht="42.75" customHeight="1">
      <c r="A19" s="2" t="s">
        <v>255</v>
      </c>
      <c r="B19" s="10" t="s">
        <v>256</v>
      </c>
      <c r="C19" s="10" t="s">
        <v>257</v>
      </c>
      <c r="D19" s="10" t="s">
        <v>258</v>
      </c>
      <c r="E19" s="10" t="s">
        <v>259</v>
      </c>
      <c r="F19" s="10" t="s">
        <v>260</v>
      </c>
      <c r="G19" s="11" t="s">
        <v>192</v>
      </c>
      <c r="H19" s="11"/>
      <c r="I19" s="11"/>
    </row>
    <row r="20" spans="1:9" ht="108" customHeight="1">
      <c r="A20" s="2" t="s">
        <v>261</v>
      </c>
      <c r="B20" s="10" t="s">
        <v>262</v>
      </c>
      <c r="C20" s="10" t="s">
        <v>263</v>
      </c>
      <c r="D20" s="10" t="s">
        <v>264</v>
      </c>
      <c r="E20" s="10" t="s">
        <v>265</v>
      </c>
      <c r="F20" s="10" t="s">
        <v>266</v>
      </c>
      <c r="G20" s="11" t="s">
        <v>199</v>
      </c>
      <c r="H20" s="11"/>
      <c r="I20" s="11"/>
    </row>
    <row r="21" spans="1:9" ht="42.75" customHeight="1">
      <c r="A21" s="2" t="s">
        <v>267</v>
      </c>
      <c r="B21" s="10" t="s">
        <v>268</v>
      </c>
      <c r="C21" s="10" t="s">
        <v>269</v>
      </c>
      <c r="D21" s="10" t="s">
        <v>270</v>
      </c>
      <c r="E21" s="10" t="s">
        <v>271</v>
      </c>
      <c r="F21" s="10" t="s">
        <v>272</v>
      </c>
      <c r="G21" s="11" t="s">
        <v>192</v>
      </c>
      <c r="H21" s="11"/>
      <c r="I21" s="11"/>
    </row>
    <row r="22" spans="1:9" ht="108" customHeight="1">
      <c r="A22" s="2" t="s">
        <v>273</v>
      </c>
      <c r="B22" s="10" t="s">
        <v>274</v>
      </c>
      <c r="C22" s="10" t="s">
        <v>275</v>
      </c>
      <c r="D22" s="10" t="s">
        <v>276</v>
      </c>
      <c r="E22" s="10" t="s">
        <v>277</v>
      </c>
      <c r="F22" s="10" t="s">
        <v>278</v>
      </c>
      <c r="G22" s="11" t="s">
        <v>192</v>
      </c>
      <c r="H22" s="11"/>
      <c r="I22" s="11"/>
    </row>
    <row r="23" spans="1:9" ht="30" customHeight="1">
      <c r="A23" s="2" t="s">
        <v>279</v>
      </c>
      <c r="B23" s="10" t="s">
        <v>280</v>
      </c>
      <c r="C23" s="10" t="s">
        <v>281</v>
      </c>
      <c r="D23" s="10" t="s">
        <v>282</v>
      </c>
      <c r="E23" s="10" t="s">
        <v>283</v>
      </c>
      <c r="F23" s="10" t="s">
        <v>284</v>
      </c>
      <c r="G23" s="11" t="s">
        <v>192</v>
      </c>
      <c r="H23" s="11"/>
      <c r="I23" s="11"/>
    </row>
    <row r="24" spans="1:9" ht="30" customHeight="1">
      <c r="A24" s="2" t="s">
        <v>285</v>
      </c>
      <c r="B24" s="10" t="s">
        <v>286</v>
      </c>
      <c r="C24" s="10" t="s">
        <v>287</v>
      </c>
      <c r="D24" s="10" t="s">
        <v>288</v>
      </c>
      <c r="E24" s="10" t="s">
        <v>283</v>
      </c>
      <c r="F24" s="10" t="s">
        <v>289</v>
      </c>
      <c r="G24" s="11" t="s">
        <v>192</v>
      </c>
      <c r="H24" s="11"/>
      <c r="I24" s="11"/>
    </row>
    <row r="25" spans="1:9" ht="42.75" customHeight="1">
      <c r="A25" s="2" t="s">
        <v>290</v>
      </c>
      <c r="B25" s="10" t="s">
        <v>291</v>
      </c>
      <c r="C25" s="10" t="s">
        <v>292</v>
      </c>
      <c r="D25" s="10" t="s">
        <v>293</v>
      </c>
      <c r="E25" s="10" t="s">
        <v>294</v>
      </c>
      <c r="F25" s="10" t="s">
        <v>295</v>
      </c>
      <c r="G25" s="11" t="s">
        <v>192</v>
      </c>
      <c r="H25" s="11"/>
      <c r="I25" s="11"/>
    </row>
    <row r="26" spans="1:9" ht="42.75" customHeight="1">
      <c r="A26" s="2" t="s">
        <v>296</v>
      </c>
      <c r="B26" s="10" t="s">
        <v>297</v>
      </c>
      <c r="C26" s="10" t="s">
        <v>298</v>
      </c>
      <c r="D26" s="10" t="s">
        <v>299</v>
      </c>
      <c r="E26" s="10" t="s">
        <v>300</v>
      </c>
      <c r="F26" s="10" t="s">
        <v>301</v>
      </c>
      <c r="G26" s="11" t="s">
        <v>192</v>
      </c>
      <c r="H26" s="11"/>
      <c r="I26" s="11"/>
    </row>
    <row r="27" spans="1:9" ht="30" customHeight="1">
      <c r="A27" s="2" t="s">
        <v>302</v>
      </c>
      <c r="B27" s="10" t="s">
        <v>303</v>
      </c>
      <c r="C27" s="10" t="s">
        <v>304</v>
      </c>
      <c r="D27" s="10" t="s">
        <v>305</v>
      </c>
      <c r="E27" s="10" t="s">
        <v>283</v>
      </c>
      <c r="F27" s="10" t="s">
        <v>306</v>
      </c>
      <c r="G27" s="11" t="s">
        <v>192</v>
      </c>
      <c r="H27" s="11"/>
      <c r="I27" s="11"/>
    </row>
    <row r="28" spans="1:9" ht="42.75" customHeight="1">
      <c r="A28" s="2" t="s">
        <v>307</v>
      </c>
      <c r="B28" s="10" t="s">
        <v>308</v>
      </c>
      <c r="C28" s="10" t="s">
        <v>309</v>
      </c>
      <c r="D28" s="10" t="s">
        <v>310</v>
      </c>
      <c r="E28" s="10" t="s">
        <v>311</v>
      </c>
      <c r="F28" s="10" t="s">
        <v>312</v>
      </c>
      <c r="G28" s="11" t="s">
        <v>192</v>
      </c>
      <c r="H28" s="11"/>
      <c r="I28" s="11"/>
    </row>
    <row r="29" spans="1:9" ht="42.75" customHeight="1">
      <c r="A29" s="2" t="s">
        <v>313</v>
      </c>
      <c r="B29" s="10" t="s">
        <v>314</v>
      </c>
      <c r="C29" s="10" t="s">
        <v>315</v>
      </c>
      <c r="D29" s="10" t="s">
        <v>316</v>
      </c>
      <c r="E29" s="10" t="s">
        <v>317</v>
      </c>
      <c r="F29" s="10" t="s">
        <v>318</v>
      </c>
      <c r="G29" s="11" t="s">
        <v>192</v>
      </c>
      <c r="H29" s="11"/>
      <c r="I29" s="11"/>
    </row>
    <row r="30" spans="1:9" ht="94.5" customHeight="1">
      <c r="A30" s="2" t="s">
        <v>319</v>
      </c>
      <c r="B30" s="10" t="s">
        <v>320</v>
      </c>
      <c r="C30" s="10" t="s">
        <v>321</v>
      </c>
      <c r="D30" s="10" t="s">
        <v>322</v>
      </c>
      <c r="E30" s="10" t="s">
        <v>323</v>
      </c>
      <c r="F30" s="10" t="s">
        <v>324</v>
      </c>
      <c r="G30" s="11" t="s">
        <v>192</v>
      </c>
      <c r="H30" s="11"/>
      <c r="I30" s="11"/>
    </row>
    <row r="31" spans="1:9" ht="159.75" customHeight="1">
      <c r="A31" s="2" t="s">
        <v>325</v>
      </c>
      <c r="B31" s="10" t="s">
        <v>326</v>
      </c>
      <c r="C31" s="10" t="s">
        <v>327</v>
      </c>
      <c r="D31" s="10" t="s">
        <v>328</v>
      </c>
      <c r="E31" s="10" t="s">
        <v>329</v>
      </c>
      <c r="F31" s="10" t="s">
        <v>330</v>
      </c>
      <c r="G31" s="11" t="s">
        <v>192</v>
      </c>
      <c r="H31" s="11"/>
      <c r="I31" s="11"/>
    </row>
    <row r="32" spans="1:9" ht="94.5" customHeight="1">
      <c r="A32" s="2" t="s">
        <v>331</v>
      </c>
      <c r="B32" s="10" t="s">
        <v>332</v>
      </c>
      <c r="C32" s="10" t="s">
        <v>333</v>
      </c>
      <c r="D32" s="10" t="s">
        <v>334</v>
      </c>
      <c r="E32" s="10" t="s">
        <v>335</v>
      </c>
      <c r="F32" s="10" t="s">
        <v>336</v>
      </c>
      <c r="G32" s="11" t="s">
        <v>192</v>
      </c>
      <c r="H32" s="11"/>
      <c r="I32" s="11"/>
    </row>
    <row r="33" spans="1:9" ht="42.75" customHeight="1">
      <c r="A33" s="2" t="s">
        <v>337</v>
      </c>
      <c r="B33" s="10" t="s">
        <v>338</v>
      </c>
      <c r="C33" s="10" t="s">
        <v>339</v>
      </c>
      <c r="D33" s="10" t="s">
        <v>340</v>
      </c>
      <c r="E33" s="10" t="s">
        <v>341</v>
      </c>
      <c r="F33" s="10" t="s">
        <v>342</v>
      </c>
      <c r="G33" s="11" t="s">
        <v>192</v>
      </c>
      <c r="H33" s="11"/>
      <c r="I33" s="11"/>
    </row>
    <row r="34" spans="1:9" ht="42.75" customHeight="1">
      <c r="A34" s="2" t="s">
        <v>343</v>
      </c>
      <c r="B34" s="10" t="s">
        <v>344</v>
      </c>
      <c r="C34" s="10" t="s">
        <v>345</v>
      </c>
      <c r="D34" s="10" t="s">
        <v>346</v>
      </c>
      <c r="E34" s="10" t="s">
        <v>347</v>
      </c>
      <c r="F34" s="10" t="s">
        <v>348</v>
      </c>
      <c r="G34" s="11" t="s">
        <v>199</v>
      </c>
      <c r="H34" s="11"/>
      <c r="I34" s="11"/>
    </row>
    <row r="35" spans="1:9" ht="42.75" customHeight="1">
      <c r="A35" s="2" t="s">
        <v>349</v>
      </c>
      <c r="B35" s="10" t="s">
        <v>350</v>
      </c>
      <c r="C35" s="10" t="s">
        <v>351</v>
      </c>
      <c r="D35" s="10" t="s">
        <v>352</v>
      </c>
      <c r="E35" s="10" t="s">
        <v>353</v>
      </c>
      <c r="F35" s="10" t="s">
        <v>354</v>
      </c>
      <c r="G35" s="11" t="s">
        <v>199</v>
      </c>
      <c r="H35" s="11"/>
      <c r="I35" s="11"/>
    </row>
    <row r="36" spans="1:9" ht="81.75" customHeight="1">
      <c r="A36" s="2" t="s">
        <v>355</v>
      </c>
      <c r="B36" s="10" t="s">
        <v>356</v>
      </c>
      <c r="C36" s="10" t="s">
        <v>357</v>
      </c>
      <c r="D36" s="10" t="s">
        <v>358</v>
      </c>
      <c r="E36" s="10" t="s">
        <v>359</v>
      </c>
      <c r="F36" s="10" t="s">
        <v>360</v>
      </c>
      <c r="G36" s="11" t="s">
        <v>192</v>
      </c>
      <c r="H36" s="11"/>
      <c r="I36" s="11"/>
    </row>
    <row r="37" spans="1:9" ht="81.75" customHeight="1">
      <c r="A37" s="2" t="s">
        <v>361</v>
      </c>
      <c r="B37" s="10" t="s">
        <v>362</v>
      </c>
      <c r="C37" s="10" t="s">
        <v>363</v>
      </c>
      <c r="D37" s="10" t="s">
        <v>364</v>
      </c>
      <c r="E37" s="10" t="s">
        <v>365</v>
      </c>
      <c r="F37" s="10" t="s">
        <v>366</v>
      </c>
      <c r="G37" s="11" t="s">
        <v>192</v>
      </c>
      <c r="H37" s="11"/>
      <c r="I37" s="11"/>
    </row>
    <row r="39" spans="1:9" ht="18" customHeight="1">
      <c r="A39" s="22" t="s">
        <v>367</v>
      </c>
      <c r="B39" s="22"/>
      <c r="C39" s="22"/>
      <c r="D39" s="22"/>
      <c r="E39" s="22"/>
      <c r="F39" s="22"/>
      <c r="G39" s="22"/>
      <c r="H39" s="22"/>
      <c r="I39" s="22"/>
    </row>
    <row r="40" spans="1:9" ht="211.5" customHeight="1">
      <c r="A40" s="2" t="s">
        <v>368</v>
      </c>
      <c r="B40" s="10" t="s">
        <v>369</v>
      </c>
      <c r="C40" s="10" t="s">
        <v>184</v>
      </c>
      <c r="D40" s="10" t="s">
        <v>184</v>
      </c>
      <c r="E40" s="10" t="s">
        <v>370</v>
      </c>
      <c r="F40" s="10" t="s">
        <v>371</v>
      </c>
      <c r="G40" s="11" t="s">
        <v>372</v>
      </c>
      <c r="H40" s="11"/>
      <c r="I40" s="11"/>
    </row>
    <row r="41" spans="1:9" ht="159.75" customHeight="1">
      <c r="A41" s="2" t="s">
        <v>373</v>
      </c>
      <c r="B41" s="10" t="s">
        <v>374</v>
      </c>
      <c r="C41" s="10" t="s">
        <v>184</v>
      </c>
      <c r="D41" s="10" t="s">
        <v>184</v>
      </c>
      <c r="E41" s="10" t="s">
        <v>375</v>
      </c>
      <c r="F41" s="10" t="s">
        <v>184</v>
      </c>
      <c r="G41" s="11" t="s">
        <v>372</v>
      </c>
      <c r="H41" s="11"/>
      <c r="I41" s="11"/>
    </row>
    <row r="42" spans="1:9" ht="94.5" customHeight="1">
      <c r="A42" s="2" t="s">
        <v>376</v>
      </c>
      <c r="B42" s="10" t="s">
        <v>377</v>
      </c>
      <c r="C42" s="10" t="s">
        <v>184</v>
      </c>
      <c r="D42" s="10" t="s">
        <v>184</v>
      </c>
      <c r="E42" s="10" t="s">
        <v>378</v>
      </c>
      <c r="F42" s="10" t="s">
        <v>379</v>
      </c>
      <c r="G42" s="11" t="s">
        <v>380</v>
      </c>
      <c r="H42" s="11"/>
      <c r="I42" s="11" t="s">
        <v>381</v>
      </c>
    </row>
    <row r="43" spans="1:9" ht="237.75" customHeight="1">
      <c r="A43" s="2" t="s">
        <v>382</v>
      </c>
      <c r="B43" s="10" t="s">
        <v>383</v>
      </c>
      <c r="C43" s="10" t="s">
        <v>184</v>
      </c>
      <c r="D43" s="10" t="s">
        <v>184</v>
      </c>
      <c r="E43" s="10" t="s">
        <v>384</v>
      </c>
      <c r="F43" s="10" t="s">
        <v>184</v>
      </c>
      <c r="G43" s="11" t="s">
        <v>385</v>
      </c>
      <c r="H43" s="15" t="s">
        <v>386</v>
      </c>
      <c r="I43" s="11"/>
    </row>
    <row r="44" spans="1:9" ht="147" customHeight="1">
      <c r="A44" s="2" t="s">
        <v>387</v>
      </c>
      <c r="B44" s="10" t="s">
        <v>388</v>
      </c>
      <c r="C44" s="10" t="s">
        <v>184</v>
      </c>
      <c r="D44" s="10" t="s">
        <v>184</v>
      </c>
      <c r="E44" s="10" t="s">
        <v>389</v>
      </c>
      <c r="F44" s="10" t="s">
        <v>390</v>
      </c>
      <c r="G44" s="11" t="s">
        <v>372</v>
      </c>
      <c r="H44" s="14"/>
      <c r="I44" s="11"/>
    </row>
    <row r="45" spans="1:9">
      <c r="H45" s="14"/>
    </row>
    <row r="46" spans="1:9">
      <c r="H46" s="14"/>
    </row>
    <row r="47" spans="1:9">
      <c r="H47" s="14"/>
    </row>
    <row r="48" spans="1:9">
      <c r="H48" s="14"/>
    </row>
    <row r="49" spans="8:8">
      <c r="H49" s="14"/>
    </row>
  </sheetData>
  <mergeCells count="6">
    <mergeCell ref="A1:I1"/>
    <mergeCell ref="A2:I2"/>
    <mergeCell ref="A3:I3"/>
    <mergeCell ref="A4:I4"/>
    <mergeCell ref="A39:I39"/>
    <mergeCell ref="A5:I5"/>
  </mergeCells>
  <dataValidations count="2">
    <dataValidation type="list" allowBlank="1" errorTitle="Choose from the list" error="Please choose one of the options in the list." sqref="G7:G37" xr:uid="{00000000-0002-0000-0200-000000000000}">
      <formula1>"Keep as it is,Use the suggested wording,Use my version below,Not sure — see comment"</formula1>
      <formula2>0</formula2>
    </dataValidation>
    <dataValidation type="list" allowBlank="1" errorTitle="Choose from the list" error="Please choose one of the options in the list." sqref="G40:G44" xr:uid="{00000000-0002-0000-0200-000001000000}">
      <formula1>"Keep the survey wording,Use my document’s wording,See my answer in the next column,Not sure — see comment"</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2A3C"/>
  </sheetPr>
  <dimension ref="A1:Q80"/>
  <sheetViews>
    <sheetView workbookViewId="0">
      <pane xSplit="2" ySplit="6" topLeftCell="L76" activePane="bottomRight" state="frozen"/>
      <selection pane="bottomRight" activeCell="O64" sqref="O64:O78"/>
      <selection pane="bottomLeft"/>
      <selection pane="topRight"/>
    </sheetView>
  </sheetViews>
  <sheetFormatPr defaultColWidth="8.7109375" defaultRowHeight="15"/>
  <cols>
    <col min="1" max="1" width="5" customWidth="1"/>
    <col min="2" max="3" width="26" customWidth="1"/>
    <col min="4" max="4" width="30" customWidth="1"/>
    <col min="5" max="5" width="34" customWidth="1"/>
    <col min="6" max="6" width="30" customWidth="1"/>
    <col min="7" max="7" width="28" customWidth="1"/>
    <col min="8" max="8" width="40" customWidth="1"/>
    <col min="9" max="10" width="30" customWidth="1"/>
    <col min="11" max="11" width="34" customWidth="1"/>
    <col min="12" max="12" width="32" customWidth="1"/>
    <col min="13" max="13" width="44" customWidth="1"/>
    <col min="14" max="14" width="12" customWidth="1"/>
    <col min="15" max="16" width="24" customWidth="1"/>
    <col min="17" max="17" width="30" customWidth="1"/>
  </cols>
  <sheetData>
    <row r="1" spans="1:17" ht="18">
      <c r="A1" s="27" t="s">
        <v>391</v>
      </c>
      <c r="B1" s="27"/>
      <c r="C1" s="27"/>
      <c r="D1" s="27"/>
      <c r="E1" s="27"/>
      <c r="F1" s="27"/>
      <c r="G1" s="27"/>
      <c r="H1" s="27"/>
      <c r="I1" s="27"/>
      <c r="J1" s="27"/>
      <c r="K1" s="27"/>
      <c r="L1" s="27"/>
      <c r="M1" s="27"/>
      <c r="N1" s="27"/>
      <c r="O1" s="27"/>
      <c r="P1" s="27"/>
      <c r="Q1" s="27"/>
    </row>
    <row r="2" spans="1:17" ht="21" customHeight="1">
      <c r="A2" s="16" t="s">
        <v>392</v>
      </c>
      <c r="B2" s="16"/>
      <c r="C2" s="16"/>
      <c r="D2" s="16"/>
      <c r="E2" s="16"/>
      <c r="F2" s="16"/>
      <c r="G2" s="16"/>
      <c r="H2" s="16"/>
      <c r="I2" s="16"/>
      <c r="J2" s="16"/>
      <c r="K2" s="16"/>
      <c r="L2" s="16"/>
      <c r="M2" s="16"/>
      <c r="N2" s="16"/>
      <c r="O2" s="16"/>
      <c r="P2" s="16"/>
      <c r="Q2" s="16"/>
    </row>
    <row r="3" spans="1:17" ht="21" customHeight="1">
      <c r="A3" s="16" t="s">
        <v>393</v>
      </c>
      <c r="B3" s="16"/>
      <c r="C3" s="16"/>
      <c r="D3" s="16"/>
      <c r="E3" s="16"/>
      <c r="F3" s="16"/>
      <c r="G3" s="16"/>
      <c r="H3" s="16"/>
      <c r="I3" s="16"/>
      <c r="J3" s="16"/>
      <c r="K3" s="16"/>
      <c r="L3" s="16"/>
      <c r="M3" s="16"/>
      <c r="N3" s="16"/>
      <c r="O3" s="16"/>
      <c r="P3" s="16"/>
      <c r="Q3" s="16"/>
    </row>
    <row r="4" spans="1:17" ht="15" customHeight="1">
      <c r="A4" s="16" t="s">
        <v>394</v>
      </c>
      <c r="B4" s="16"/>
      <c r="C4" s="16"/>
      <c r="D4" s="16"/>
      <c r="E4" s="16"/>
      <c r="F4" s="16"/>
      <c r="G4" s="16"/>
      <c r="H4" s="16"/>
      <c r="I4" s="16"/>
      <c r="J4" s="16"/>
      <c r="K4" s="16"/>
      <c r="L4" s="16"/>
      <c r="M4" s="16"/>
      <c r="N4" s="16"/>
      <c r="O4" s="16"/>
      <c r="P4" s="16"/>
      <c r="Q4" s="16"/>
    </row>
    <row r="5" spans="1:17" ht="38.1" customHeight="1">
      <c r="A5" s="17" t="s">
        <v>395</v>
      </c>
      <c r="B5" s="18" t="s">
        <v>395</v>
      </c>
      <c r="C5" s="18" t="s">
        <v>395</v>
      </c>
      <c r="D5" s="18" t="s">
        <v>395</v>
      </c>
      <c r="E5" s="18" t="s">
        <v>395</v>
      </c>
      <c r="F5" s="18" t="s">
        <v>395</v>
      </c>
      <c r="G5" s="18" t="s">
        <v>395</v>
      </c>
      <c r="H5" s="18" t="s">
        <v>395</v>
      </c>
      <c r="I5" s="18" t="s">
        <v>395</v>
      </c>
      <c r="J5" s="18" t="s">
        <v>395</v>
      </c>
      <c r="K5" s="18" t="s">
        <v>395</v>
      </c>
      <c r="L5" s="18" t="s">
        <v>395</v>
      </c>
      <c r="M5" s="18" t="s">
        <v>395</v>
      </c>
      <c r="N5" s="18" t="s">
        <v>395</v>
      </c>
      <c r="O5" s="18" t="s">
        <v>395</v>
      </c>
      <c r="P5" s="18" t="s">
        <v>395</v>
      </c>
      <c r="Q5" s="19" t="s">
        <v>395</v>
      </c>
    </row>
    <row r="6" spans="1:17" ht="57.75" customHeight="1">
      <c r="A6" s="7" t="s">
        <v>17</v>
      </c>
      <c r="B6" s="7" t="s">
        <v>396</v>
      </c>
      <c r="C6" s="4" t="s">
        <v>397</v>
      </c>
      <c r="D6" s="4" t="s">
        <v>398</v>
      </c>
      <c r="E6" s="4" t="s">
        <v>399</v>
      </c>
      <c r="F6" s="4" t="s">
        <v>400</v>
      </c>
      <c r="G6" s="7" t="s">
        <v>401</v>
      </c>
      <c r="H6" s="7" t="s">
        <v>402</v>
      </c>
      <c r="I6" s="7" t="s">
        <v>403</v>
      </c>
      <c r="J6" s="7" t="s">
        <v>404</v>
      </c>
      <c r="K6" s="7" t="s">
        <v>405</v>
      </c>
      <c r="L6" s="7" t="s">
        <v>406</v>
      </c>
      <c r="M6" s="7" t="s">
        <v>407</v>
      </c>
      <c r="N6" s="7" t="s">
        <v>408</v>
      </c>
      <c r="O6" s="7" t="s">
        <v>409</v>
      </c>
      <c r="P6" s="4" t="s">
        <v>410</v>
      </c>
      <c r="Q6" s="7" t="s">
        <v>48</v>
      </c>
    </row>
    <row r="7" spans="1:17" ht="45" customHeight="1">
      <c r="A7" s="10">
        <v>1</v>
      </c>
      <c r="B7" s="10" t="s">
        <v>411</v>
      </c>
      <c r="C7" s="10" t="s">
        <v>184</v>
      </c>
      <c r="D7" s="10" t="s">
        <v>184</v>
      </c>
      <c r="E7" s="10" t="s">
        <v>184</v>
      </c>
      <c r="F7" s="10" t="s">
        <v>184</v>
      </c>
      <c r="G7" s="10" t="s">
        <v>412</v>
      </c>
      <c r="H7" s="10" t="s">
        <v>413</v>
      </c>
      <c r="I7" s="10" t="s">
        <v>184</v>
      </c>
      <c r="J7" s="10" t="s">
        <v>414</v>
      </c>
      <c r="K7" s="10" t="s">
        <v>415</v>
      </c>
      <c r="L7" s="10" t="s">
        <v>416</v>
      </c>
      <c r="M7" s="10" t="s">
        <v>417</v>
      </c>
      <c r="N7" s="10">
        <v>0</v>
      </c>
      <c r="O7" s="11" t="s">
        <v>418</v>
      </c>
      <c r="P7" s="10" t="s">
        <v>184</v>
      </c>
      <c r="Q7" s="11"/>
    </row>
    <row r="8" spans="1:17" ht="45" customHeight="1">
      <c r="A8" s="10">
        <v>2</v>
      </c>
      <c r="B8" s="10" t="s">
        <v>411</v>
      </c>
      <c r="C8" s="10" t="s">
        <v>184</v>
      </c>
      <c r="D8" s="10" t="s">
        <v>184</v>
      </c>
      <c r="E8" s="10" t="s">
        <v>184</v>
      </c>
      <c r="F8" s="10" t="s">
        <v>184</v>
      </c>
      <c r="G8" s="10" t="s">
        <v>419</v>
      </c>
      <c r="H8" s="10" t="s">
        <v>413</v>
      </c>
      <c r="I8" s="10" t="s">
        <v>184</v>
      </c>
      <c r="J8" s="10" t="s">
        <v>420</v>
      </c>
      <c r="K8" s="10" t="s">
        <v>415</v>
      </c>
      <c r="L8" s="10" t="s">
        <v>421</v>
      </c>
      <c r="M8" s="10" t="s">
        <v>422</v>
      </c>
      <c r="N8" s="10">
        <v>0</v>
      </c>
      <c r="O8" s="11" t="s">
        <v>423</v>
      </c>
      <c r="P8" s="10" t="s">
        <v>184</v>
      </c>
      <c r="Q8" s="11"/>
    </row>
    <row r="9" spans="1:17" ht="84" customHeight="1">
      <c r="A9" s="10">
        <v>3</v>
      </c>
      <c r="B9" s="10" t="s">
        <v>424</v>
      </c>
      <c r="C9" s="10" t="s">
        <v>425</v>
      </c>
      <c r="D9" s="10" t="s">
        <v>426</v>
      </c>
      <c r="E9" s="10" t="s">
        <v>427</v>
      </c>
      <c r="F9" s="10" t="s">
        <v>428</v>
      </c>
      <c r="G9" s="10" t="s">
        <v>429</v>
      </c>
      <c r="H9" s="10" t="s">
        <v>430</v>
      </c>
      <c r="I9" s="2" t="s">
        <v>431</v>
      </c>
      <c r="J9" s="10" t="s">
        <v>431</v>
      </c>
      <c r="K9" s="10" t="s">
        <v>432</v>
      </c>
      <c r="L9" s="10" t="s">
        <v>431</v>
      </c>
      <c r="M9" s="10" t="s">
        <v>433</v>
      </c>
      <c r="N9" s="10">
        <v>0</v>
      </c>
      <c r="O9" s="11" t="s">
        <v>434</v>
      </c>
      <c r="P9" s="11" t="s">
        <v>423</v>
      </c>
      <c r="Q9" s="11"/>
    </row>
    <row r="10" spans="1:17" ht="84" customHeight="1">
      <c r="A10" s="10">
        <v>4</v>
      </c>
      <c r="B10" s="10" t="s">
        <v>424</v>
      </c>
      <c r="C10" s="10" t="s">
        <v>435</v>
      </c>
      <c r="D10" s="10" t="s">
        <v>436</v>
      </c>
      <c r="E10" s="10" t="s">
        <v>427</v>
      </c>
      <c r="F10" s="10" t="s">
        <v>437</v>
      </c>
      <c r="G10" s="10" t="s">
        <v>429</v>
      </c>
      <c r="H10" s="10" t="s">
        <v>438</v>
      </c>
      <c r="I10" s="10" t="s">
        <v>184</v>
      </c>
      <c r="J10" s="10"/>
      <c r="K10" s="10" t="s">
        <v>439</v>
      </c>
      <c r="L10" s="10" t="s">
        <v>431</v>
      </c>
      <c r="M10" s="10" t="s">
        <v>440</v>
      </c>
      <c r="N10" s="10">
        <v>0</v>
      </c>
      <c r="O10" s="11" t="s">
        <v>423</v>
      </c>
      <c r="P10" s="11" t="s">
        <v>418</v>
      </c>
      <c r="Q10" s="11"/>
    </row>
    <row r="11" spans="1:17" ht="84" customHeight="1">
      <c r="A11" s="10">
        <v>5</v>
      </c>
      <c r="B11" s="10" t="s">
        <v>424</v>
      </c>
      <c r="C11" s="10" t="s">
        <v>441</v>
      </c>
      <c r="D11" s="10" t="s">
        <v>442</v>
      </c>
      <c r="E11" s="10" t="s">
        <v>427</v>
      </c>
      <c r="F11" s="10" t="s">
        <v>442</v>
      </c>
      <c r="G11" s="10" t="s">
        <v>443</v>
      </c>
      <c r="H11" s="10" t="s">
        <v>444</v>
      </c>
      <c r="I11" s="2" t="s">
        <v>445</v>
      </c>
      <c r="J11" s="10" t="s">
        <v>445</v>
      </c>
      <c r="K11" s="10" t="s">
        <v>432</v>
      </c>
      <c r="L11" s="10" t="s">
        <v>446</v>
      </c>
      <c r="M11" s="10" t="s">
        <v>447</v>
      </c>
      <c r="N11" s="10">
        <v>0</v>
      </c>
      <c r="O11" s="11" t="s">
        <v>434</v>
      </c>
      <c r="P11" s="11" t="s">
        <v>423</v>
      </c>
      <c r="Q11" s="11"/>
    </row>
    <row r="12" spans="1:17" ht="84" customHeight="1">
      <c r="A12" s="10">
        <v>6</v>
      </c>
      <c r="B12" s="10" t="s">
        <v>424</v>
      </c>
      <c r="C12" s="10" t="s">
        <v>448</v>
      </c>
      <c r="D12" s="10" t="s">
        <v>449</v>
      </c>
      <c r="E12" s="10" t="s">
        <v>427</v>
      </c>
      <c r="F12" s="10" t="s">
        <v>450</v>
      </c>
      <c r="G12" s="10" t="s">
        <v>22</v>
      </c>
      <c r="H12" s="10" t="s">
        <v>413</v>
      </c>
      <c r="I12" s="10" t="s">
        <v>184</v>
      </c>
      <c r="J12" s="10" t="s">
        <v>22</v>
      </c>
      <c r="K12" s="10" t="s">
        <v>415</v>
      </c>
      <c r="L12" s="10" t="s">
        <v>22</v>
      </c>
      <c r="M12" s="10" t="s">
        <v>451</v>
      </c>
      <c r="N12" s="10">
        <v>0</v>
      </c>
      <c r="O12" s="11" t="s">
        <v>423</v>
      </c>
      <c r="P12" s="11" t="s">
        <v>423</v>
      </c>
      <c r="Q12" s="11"/>
    </row>
    <row r="13" spans="1:17" ht="84" customHeight="1">
      <c r="A13" s="10">
        <v>7</v>
      </c>
      <c r="B13" s="10" t="s">
        <v>424</v>
      </c>
      <c r="C13" s="10" t="s">
        <v>448</v>
      </c>
      <c r="D13" s="10" t="s">
        <v>449</v>
      </c>
      <c r="E13" s="10" t="s">
        <v>427</v>
      </c>
      <c r="F13" s="10" t="s">
        <v>450</v>
      </c>
      <c r="G13" s="10" t="s">
        <v>452</v>
      </c>
      <c r="H13" s="10" t="s">
        <v>413</v>
      </c>
      <c r="I13" s="10" t="s">
        <v>184</v>
      </c>
      <c r="J13" s="10" t="s">
        <v>452</v>
      </c>
      <c r="K13" s="10" t="s">
        <v>415</v>
      </c>
      <c r="L13" s="10" t="s">
        <v>452</v>
      </c>
      <c r="M13" s="10" t="s">
        <v>453</v>
      </c>
      <c r="N13" s="10">
        <v>0</v>
      </c>
      <c r="O13" s="11" t="s">
        <v>423</v>
      </c>
      <c r="P13" s="11" t="s">
        <v>423</v>
      </c>
      <c r="Q13" s="11"/>
    </row>
    <row r="14" spans="1:17" ht="84" customHeight="1">
      <c r="A14" s="10">
        <v>8</v>
      </c>
      <c r="B14" s="10" t="s">
        <v>424</v>
      </c>
      <c r="C14" s="10" t="s">
        <v>454</v>
      </c>
      <c r="D14" s="10" t="s">
        <v>455</v>
      </c>
      <c r="E14" s="10" t="s">
        <v>427</v>
      </c>
      <c r="F14" s="10" t="s">
        <v>450</v>
      </c>
      <c r="G14" s="10" t="s">
        <v>456</v>
      </c>
      <c r="H14" s="10" t="s">
        <v>413</v>
      </c>
      <c r="I14" s="10" t="s">
        <v>184</v>
      </c>
      <c r="J14" s="10" t="s">
        <v>457</v>
      </c>
      <c r="K14" s="10" t="s">
        <v>415</v>
      </c>
      <c r="L14" s="10" t="s">
        <v>458</v>
      </c>
      <c r="M14" s="10" t="s">
        <v>459</v>
      </c>
      <c r="N14" s="10">
        <v>2030</v>
      </c>
      <c r="O14" s="11" t="s">
        <v>418</v>
      </c>
      <c r="P14" s="11" t="s">
        <v>423</v>
      </c>
      <c r="Q14" s="11"/>
    </row>
    <row r="15" spans="1:17" ht="84" customHeight="1">
      <c r="A15" s="10">
        <v>9</v>
      </c>
      <c r="B15" s="10" t="s">
        <v>424</v>
      </c>
      <c r="C15" s="10" t="s">
        <v>460</v>
      </c>
      <c r="D15" s="10" t="s">
        <v>461</v>
      </c>
      <c r="E15" s="10" t="s">
        <v>427</v>
      </c>
      <c r="F15" s="10" t="s">
        <v>462</v>
      </c>
      <c r="G15" s="10" t="s">
        <v>463</v>
      </c>
      <c r="H15" s="10" t="s">
        <v>464</v>
      </c>
      <c r="I15" s="2" t="s">
        <v>465</v>
      </c>
      <c r="J15" s="10" t="s">
        <v>465</v>
      </c>
      <c r="K15" s="10" t="s">
        <v>432</v>
      </c>
      <c r="L15" s="10" t="s">
        <v>466</v>
      </c>
      <c r="M15" s="10" t="s">
        <v>467</v>
      </c>
      <c r="N15" s="10">
        <v>0</v>
      </c>
      <c r="O15" s="11" t="s">
        <v>434</v>
      </c>
      <c r="P15" s="11" t="s">
        <v>418</v>
      </c>
      <c r="Q15" s="11"/>
    </row>
    <row r="16" spans="1:17" ht="84" customHeight="1">
      <c r="A16" s="10">
        <v>10</v>
      </c>
      <c r="B16" s="10" t="s">
        <v>424</v>
      </c>
      <c r="C16" s="10" t="s">
        <v>460</v>
      </c>
      <c r="D16" s="10" t="s">
        <v>461</v>
      </c>
      <c r="E16" s="10" t="s">
        <v>427</v>
      </c>
      <c r="F16" s="10" t="s">
        <v>462</v>
      </c>
      <c r="G16" s="10" t="s">
        <v>468</v>
      </c>
      <c r="H16" s="10" t="s">
        <v>469</v>
      </c>
      <c r="I16" s="2" t="s">
        <v>470</v>
      </c>
      <c r="J16" s="10" t="s">
        <v>470</v>
      </c>
      <c r="K16" s="10" t="s">
        <v>432</v>
      </c>
      <c r="L16" s="10" t="s">
        <v>471</v>
      </c>
      <c r="M16" s="10" t="s">
        <v>472</v>
      </c>
      <c r="N16" s="10">
        <v>0</v>
      </c>
      <c r="O16" s="11" t="s">
        <v>434</v>
      </c>
      <c r="P16" s="11" t="s">
        <v>418</v>
      </c>
      <c r="Q16" s="11"/>
    </row>
    <row r="17" spans="1:17" ht="84" customHeight="1">
      <c r="A17" s="10">
        <v>11</v>
      </c>
      <c r="B17" s="10" t="s">
        <v>424</v>
      </c>
      <c r="C17" s="10" t="s">
        <v>460</v>
      </c>
      <c r="D17" s="10" t="s">
        <v>461</v>
      </c>
      <c r="E17" s="10" t="s">
        <v>427</v>
      </c>
      <c r="F17" s="10" t="s">
        <v>462</v>
      </c>
      <c r="G17" s="10" t="s">
        <v>473</v>
      </c>
      <c r="H17" s="10" t="s">
        <v>474</v>
      </c>
      <c r="I17" s="2" t="s">
        <v>475</v>
      </c>
      <c r="J17" s="10" t="s">
        <v>475</v>
      </c>
      <c r="K17" s="10" t="s">
        <v>432</v>
      </c>
      <c r="L17" s="10" t="s">
        <v>475</v>
      </c>
      <c r="M17" s="10" t="s">
        <v>476</v>
      </c>
      <c r="N17" s="10">
        <v>734</v>
      </c>
      <c r="O17" s="11" t="s">
        <v>434</v>
      </c>
      <c r="P17" s="11" t="s">
        <v>418</v>
      </c>
      <c r="Q17" s="11"/>
    </row>
    <row r="18" spans="1:17" ht="84" customHeight="1">
      <c r="A18" s="10">
        <v>12</v>
      </c>
      <c r="B18" s="10" t="s">
        <v>424</v>
      </c>
      <c r="C18" s="10" t="s">
        <v>460</v>
      </c>
      <c r="D18" s="10" t="s">
        <v>461</v>
      </c>
      <c r="E18" s="10" t="s">
        <v>427</v>
      </c>
      <c r="F18" s="10" t="s">
        <v>462</v>
      </c>
      <c r="G18" s="10" t="s">
        <v>477</v>
      </c>
      <c r="H18" s="10" t="s">
        <v>478</v>
      </c>
      <c r="I18" s="2" t="s">
        <v>479</v>
      </c>
      <c r="J18" s="10" t="s">
        <v>480</v>
      </c>
      <c r="K18" s="3" t="s">
        <v>481</v>
      </c>
      <c r="L18" s="10" t="s">
        <v>480</v>
      </c>
      <c r="M18" s="10" t="s">
        <v>482</v>
      </c>
      <c r="N18" s="10">
        <v>524</v>
      </c>
      <c r="O18" s="11" t="s">
        <v>434</v>
      </c>
      <c r="P18" s="11" t="s">
        <v>418</v>
      </c>
      <c r="Q18" s="11"/>
    </row>
    <row r="19" spans="1:17" ht="84" customHeight="1">
      <c r="A19" s="10">
        <v>13</v>
      </c>
      <c r="B19" s="10" t="s">
        <v>424</v>
      </c>
      <c r="C19" s="10" t="s">
        <v>483</v>
      </c>
      <c r="D19" s="10" t="s">
        <v>484</v>
      </c>
      <c r="E19" s="10" t="s">
        <v>427</v>
      </c>
      <c r="F19" s="10" t="s">
        <v>485</v>
      </c>
      <c r="G19" s="10" t="s">
        <v>486</v>
      </c>
      <c r="H19" s="10" t="s">
        <v>487</v>
      </c>
      <c r="I19" s="2" t="s">
        <v>488</v>
      </c>
      <c r="J19" s="10" t="s">
        <v>488</v>
      </c>
      <c r="K19" s="10" t="s">
        <v>432</v>
      </c>
      <c r="L19" s="10" t="s">
        <v>488</v>
      </c>
      <c r="M19" s="10" t="s">
        <v>489</v>
      </c>
      <c r="N19" s="10">
        <v>6282</v>
      </c>
      <c r="O19" s="11" t="s">
        <v>434</v>
      </c>
      <c r="P19" s="11" t="s">
        <v>418</v>
      </c>
      <c r="Q19" s="11"/>
    </row>
    <row r="20" spans="1:17" ht="84" customHeight="1">
      <c r="A20" s="10">
        <v>14</v>
      </c>
      <c r="B20" s="10" t="s">
        <v>424</v>
      </c>
      <c r="C20" s="10" t="s">
        <v>483</v>
      </c>
      <c r="D20" s="10" t="s">
        <v>484</v>
      </c>
      <c r="E20" s="10" t="s">
        <v>427</v>
      </c>
      <c r="F20" s="10" t="s">
        <v>485</v>
      </c>
      <c r="G20" s="10" t="s">
        <v>490</v>
      </c>
      <c r="H20" s="10" t="s">
        <v>487</v>
      </c>
      <c r="I20" s="2" t="s">
        <v>488</v>
      </c>
      <c r="J20" s="10" t="s">
        <v>488</v>
      </c>
      <c r="K20" s="10" t="s">
        <v>432</v>
      </c>
      <c r="L20" s="10" t="s">
        <v>488</v>
      </c>
      <c r="M20" s="10" t="s">
        <v>489</v>
      </c>
      <c r="N20" s="10">
        <v>6282</v>
      </c>
      <c r="O20" s="11" t="s">
        <v>434</v>
      </c>
      <c r="P20" s="11" t="s">
        <v>418</v>
      </c>
      <c r="Q20" s="11"/>
    </row>
    <row r="21" spans="1:17" ht="84" customHeight="1">
      <c r="A21" s="10">
        <v>15</v>
      </c>
      <c r="B21" s="10" t="s">
        <v>424</v>
      </c>
      <c r="C21" s="10" t="s">
        <v>483</v>
      </c>
      <c r="D21" s="10" t="s">
        <v>484</v>
      </c>
      <c r="E21" s="10" t="s">
        <v>427</v>
      </c>
      <c r="F21" s="10" t="s">
        <v>485</v>
      </c>
      <c r="G21" s="10" t="s">
        <v>491</v>
      </c>
      <c r="H21" s="10" t="s">
        <v>492</v>
      </c>
      <c r="I21" s="2" t="s">
        <v>493</v>
      </c>
      <c r="J21" s="10" t="s">
        <v>493</v>
      </c>
      <c r="K21" s="10" t="s">
        <v>432</v>
      </c>
      <c r="L21" s="10" t="s">
        <v>493</v>
      </c>
      <c r="M21" s="10" t="s">
        <v>494</v>
      </c>
      <c r="N21" s="10">
        <v>3364</v>
      </c>
      <c r="O21" s="11" t="s">
        <v>434</v>
      </c>
      <c r="P21" s="11" t="s">
        <v>418</v>
      </c>
      <c r="Q21" s="11"/>
    </row>
    <row r="22" spans="1:17" ht="84" customHeight="1">
      <c r="A22" s="10">
        <v>16</v>
      </c>
      <c r="B22" s="10" t="s">
        <v>424</v>
      </c>
      <c r="C22" s="10" t="s">
        <v>483</v>
      </c>
      <c r="D22" s="10" t="s">
        <v>484</v>
      </c>
      <c r="E22" s="10" t="s">
        <v>427</v>
      </c>
      <c r="F22" s="10" t="s">
        <v>485</v>
      </c>
      <c r="G22" s="10" t="s">
        <v>495</v>
      </c>
      <c r="H22" s="10" t="s">
        <v>496</v>
      </c>
      <c r="I22" s="2" t="s">
        <v>497</v>
      </c>
      <c r="J22" s="10" t="s">
        <v>498</v>
      </c>
      <c r="K22" s="10" t="s">
        <v>432</v>
      </c>
      <c r="L22" s="10" t="s">
        <v>498</v>
      </c>
      <c r="M22" s="10" t="s">
        <v>499</v>
      </c>
      <c r="N22" s="10">
        <v>2158</v>
      </c>
      <c r="O22" s="11" t="s">
        <v>434</v>
      </c>
      <c r="P22" s="11" t="s">
        <v>418</v>
      </c>
      <c r="Q22" s="11"/>
    </row>
    <row r="23" spans="1:17" ht="84" customHeight="1">
      <c r="A23" s="10">
        <v>17</v>
      </c>
      <c r="B23" s="10" t="s">
        <v>424</v>
      </c>
      <c r="C23" s="10" t="s">
        <v>500</v>
      </c>
      <c r="D23" s="10" t="s">
        <v>501</v>
      </c>
      <c r="E23" s="10" t="s">
        <v>427</v>
      </c>
      <c r="F23" s="10" t="s">
        <v>502</v>
      </c>
      <c r="G23" s="10" t="s">
        <v>503</v>
      </c>
      <c r="H23" s="10" t="s">
        <v>504</v>
      </c>
      <c r="I23" s="2" t="s">
        <v>505</v>
      </c>
      <c r="J23" s="10" t="s">
        <v>506</v>
      </c>
      <c r="K23" s="10" t="s">
        <v>432</v>
      </c>
      <c r="L23" s="10" t="s">
        <v>507</v>
      </c>
      <c r="M23" s="10" t="s">
        <v>508</v>
      </c>
      <c r="N23" s="10">
        <v>4948</v>
      </c>
      <c r="O23" s="11" t="s">
        <v>434</v>
      </c>
      <c r="P23" s="11" t="s">
        <v>423</v>
      </c>
      <c r="Q23" s="11"/>
    </row>
    <row r="24" spans="1:17" ht="84" customHeight="1">
      <c r="A24" s="10">
        <v>18</v>
      </c>
      <c r="B24" s="10" t="s">
        <v>424</v>
      </c>
      <c r="C24" s="10" t="s">
        <v>500</v>
      </c>
      <c r="D24" s="10" t="s">
        <v>501</v>
      </c>
      <c r="E24" s="10" t="s">
        <v>427</v>
      </c>
      <c r="F24" s="10" t="s">
        <v>502</v>
      </c>
      <c r="G24" s="10" t="s">
        <v>509</v>
      </c>
      <c r="H24" s="10" t="s">
        <v>510</v>
      </c>
      <c r="I24" s="2" t="s">
        <v>511</v>
      </c>
      <c r="J24" s="10" t="s">
        <v>512</v>
      </c>
      <c r="K24" s="10" t="s">
        <v>432</v>
      </c>
      <c r="L24" s="10" t="s">
        <v>513</v>
      </c>
      <c r="M24" s="10" t="s">
        <v>514</v>
      </c>
      <c r="N24" s="10">
        <v>3032</v>
      </c>
      <c r="O24" s="11" t="s">
        <v>434</v>
      </c>
      <c r="P24" s="11" t="s">
        <v>423</v>
      </c>
      <c r="Q24" s="11"/>
    </row>
    <row r="25" spans="1:17" ht="84" customHeight="1">
      <c r="A25" s="10">
        <v>19</v>
      </c>
      <c r="B25" s="10" t="s">
        <v>424</v>
      </c>
      <c r="C25" s="10" t="s">
        <v>500</v>
      </c>
      <c r="D25" s="10" t="s">
        <v>501</v>
      </c>
      <c r="E25" s="10" t="s">
        <v>427</v>
      </c>
      <c r="F25" s="10" t="s">
        <v>502</v>
      </c>
      <c r="G25" s="10" t="s">
        <v>515</v>
      </c>
      <c r="H25" s="10" t="s">
        <v>516</v>
      </c>
      <c r="I25" s="2" t="s">
        <v>517</v>
      </c>
      <c r="J25" s="10" t="s">
        <v>518</v>
      </c>
      <c r="K25" s="10" t="s">
        <v>432</v>
      </c>
      <c r="L25" s="10" t="s">
        <v>519</v>
      </c>
      <c r="M25" s="10" t="s">
        <v>520</v>
      </c>
      <c r="N25" s="10">
        <v>1458</v>
      </c>
      <c r="O25" s="11" t="s">
        <v>434</v>
      </c>
      <c r="P25" s="11" t="s">
        <v>423</v>
      </c>
      <c r="Q25" s="11"/>
    </row>
    <row r="26" spans="1:17" ht="84" customHeight="1">
      <c r="A26" s="10">
        <v>20</v>
      </c>
      <c r="B26" s="10" t="s">
        <v>424</v>
      </c>
      <c r="C26" s="10" t="s">
        <v>500</v>
      </c>
      <c r="D26" s="10" t="s">
        <v>501</v>
      </c>
      <c r="E26" s="10" t="s">
        <v>427</v>
      </c>
      <c r="F26" s="10" t="s">
        <v>502</v>
      </c>
      <c r="G26" s="10" t="s">
        <v>521</v>
      </c>
      <c r="H26" s="10" t="s">
        <v>522</v>
      </c>
      <c r="I26" s="2" t="s">
        <v>523</v>
      </c>
      <c r="J26" s="10" t="s">
        <v>524</v>
      </c>
      <c r="K26" s="10" t="s">
        <v>432</v>
      </c>
      <c r="L26" s="10" t="s">
        <v>525</v>
      </c>
      <c r="M26" s="10" t="s">
        <v>526</v>
      </c>
      <c r="N26" s="10">
        <v>862</v>
      </c>
      <c r="O26" s="11" t="s">
        <v>434</v>
      </c>
      <c r="P26" s="11" t="s">
        <v>423</v>
      </c>
      <c r="Q26" s="11"/>
    </row>
    <row r="27" spans="1:17" ht="84" customHeight="1">
      <c r="A27" s="10">
        <v>21</v>
      </c>
      <c r="B27" s="10" t="s">
        <v>424</v>
      </c>
      <c r="C27" s="10" t="s">
        <v>500</v>
      </c>
      <c r="D27" s="10" t="s">
        <v>501</v>
      </c>
      <c r="E27" s="10" t="s">
        <v>427</v>
      </c>
      <c r="F27" s="10" t="s">
        <v>502</v>
      </c>
      <c r="G27" s="10" t="s">
        <v>527</v>
      </c>
      <c r="H27" s="10" t="s">
        <v>528</v>
      </c>
      <c r="I27" s="2" t="s">
        <v>529</v>
      </c>
      <c r="J27" s="10" t="s">
        <v>530</v>
      </c>
      <c r="K27" s="10" t="s">
        <v>432</v>
      </c>
      <c r="L27" s="10" t="s">
        <v>531</v>
      </c>
      <c r="M27" s="10" t="s">
        <v>532</v>
      </c>
      <c r="N27" s="10">
        <v>691</v>
      </c>
      <c r="O27" s="11" t="s">
        <v>434</v>
      </c>
      <c r="P27" s="11" t="s">
        <v>423</v>
      </c>
      <c r="Q27" s="11"/>
    </row>
    <row r="28" spans="1:17" ht="84" customHeight="1">
      <c r="A28" s="10">
        <v>22</v>
      </c>
      <c r="B28" s="10" t="s">
        <v>424</v>
      </c>
      <c r="C28" s="10" t="s">
        <v>500</v>
      </c>
      <c r="D28" s="10" t="s">
        <v>501</v>
      </c>
      <c r="E28" s="10" t="s">
        <v>427</v>
      </c>
      <c r="F28" s="10" t="s">
        <v>502</v>
      </c>
      <c r="G28" s="10" t="s">
        <v>533</v>
      </c>
      <c r="H28" s="10" t="s">
        <v>534</v>
      </c>
      <c r="I28" s="2" t="s">
        <v>535</v>
      </c>
      <c r="J28" s="10" t="s">
        <v>536</v>
      </c>
      <c r="K28" s="10" t="s">
        <v>432</v>
      </c>
      <c r="L28" s="10" t="s">
        <v>537</v>
      </c>
      <c r="M28" s="10" t="s">
        <v>538</v>
      </c>
      <c r="N28" s="10">
        <v>749</v>
      </c>
      <c r="O28" s="11" t="s">
        <v>434</v>
      </c>
      <c r="P28" s="11" t="s">
        <v>423</v>
      </c>
      <c r="Q28" s="11"/>
    </row>
    <row r="29" spans="1:17" ht="84" customHeight="1">
      <c r="A29" s="10">
        <v>23</v>
      </c>
      <c r="B29" s="10" t="s">
        <v>424</v>
      </c>
      <c r="C29" s="10" t="s">
        <v>500</v>
      </c>
      <c r="D29" s="10" t="s">
        <v>501</v>
      </c>
      <c r="E29" s="10" t="s">
        <v>427</v>
      </c>
      <c r="F29" s="10" t="s">
        <v>502</v>
      </c>
      <c r="G29" s="10" t="s">
        <v>477</v>
      </c>
      <c r="H29" s="10" t="s">
        <v>478</v>
      </c>
      <c r="I29" s="2" t="s">
        <v>479</v>
      </c>
      <c r="J29" s="10" t="s">
        <v>480</v>
      </c>
      <c r="K29" s="3" t="s">
        <v>481</v>
      </c>
      <c r="L29" s="10" t="s">
        <v>480</v>
      </c>
      <c r="M29" s="10" t="s">
        <v>539</v>
      </c>
      <c r="N29" s="10">
        <v>524</v>
      </c>
      <c r="O29" s="11" t="s">
        <v>418</v>
      </c>
      <c r="P29" s="11" t="s">
        <v>423</v>
      </c>
      <c r="Q29" s="11"/>
    </row>
    <row r="30" spans="1:17" ht="84" customHeight="1">
      <c r="A30" s="10">
        <v>24</v>
      </c>
      <c r="B30" s="10" t="s">
        <v>424</v>
      </c>
      <c r="C30" s="10" t="s">
        <v>540</v>
      </c>
      <c r="D30" s="10" t="s">
        <v>541</v>
      </c>
      <c r="E30" s="10" t="s">
        <v>427</v>
      </c>
      <c r="F30" s="10" t="s">
        <v>542</v>
      </c>
      <c r="G30" s="10" t="s">
        <v>543</v>
      </c>
      <c r="H30" s="10" t="s">
        <v>544</v>
      </c>
      <c r="I30" s="2" t="s">
        <v>545</v>
      </c>
      <c r="J30" s="10" t="s">
        <v>545</v>
      </c>
      <c r="K30" s="10" t="s">
        <v>432</v>
      </c>
      <c r="L30" s="10" t="s">
        <v>545</v>
      </c>
      <c r="M30" s="10" t="s">
        <v>546</v>
      </c>
      <c r="N30" s="10">
        <v>21464</v>
      </c>
      <c r="O30" s="11" t="s">
        <v>434</v>
      </c>
      <c r="P30" s="11" t="s">
        <v>423</v>
      </c>
      <c r="Q30" s="11"/>
    </row>
    <row r="31" spans="1:17" ht="84" customHeight="1">
      <c r="A31" s="10">
        <v>25</v>
      </c>
      <c r="B31" s="10" t="s">
        <v>424</v>
      </c>
      <c r="C31" s="10" t="s">
        <v>540</v>
      </c>
      <c r="D31" s="10" t="s">
        <v>541</v>
      </c>
      <c r="E31" s="10" t="s">
        <v>427</v>
      </c>
      <c r="F31" s="10" t="s">
        <v>542</v>
      </c>
      <c r="G31" s="10" t="s">
        <v>547</v>
      </c>
      <c r="H31" s="10" t="s">
        <v>548</v>
      </c>
      <c r="I31" s="2" t="s">
        <v>549</v>
      </c>
      <c r="J31" s="10" t="s">
        <v>549</v>
      </c>
      <c r="K31" s="10" t="s">
        <v>432</v>
      </c>
      <c r="L31" s="10" t="s">
        <v>549</v>
      </c>
      <c r="M31" s="10" t="s">
        <v>550</v>
      </c>
      <c r="N31" s="10">
        <v>5294</v>
      </c>
      <c r="O31" s="11" t="s">
        <v>434</v>
      </c>
      <c r="P31" s="11" t="s">
        <v>423</v>
      </c>
      <c r="Q31" s="11"/>
    </row>
    <row r="32" spans="1:17" ht="84" customHeight="1">
      <c r="A32" s="10">
        <v>26</v>
      </c>
      <c r="B32" s="10" t="s">
        <v>424</v>
      </c>
      <c r="C32" s="10" t="s">
        <v>540</v>
      </c>
      <c r="D32" s="10" t="s">
        <v>541</v>
      </c>
      <c r="E32" s="10" t="s">
        <v>427</v>
      </c>
      <c r="F32" s="10" t="s">
        <v>542</v>
      </c>
      <c r="G32" s="10" t="s">
        <v>551</v>
      </c>
      <c r="H32" s="10" t="s">
        <v>552</v>
      </c>
      <c r="I32" s="2" t="s">
        <v>553</v>
      </c>
      <c r="J32" s="10" t="s">
        <v>553</v>
      </c>
      <c r="K32" s="10" t="s">
        <v>432</v>
      </c>
      <c r="L32" s="10" t="s">
        <v>554</v>
      </c>
      <c r="M32" s="10" t="s">
        <v>555</v>
      </c>
      <c r="N32" s="10">
        <v>8920</v>
      </c>
      <c r="O32" s="11" t="s">
        <v>434</v>
      </c>
      <c r="P32" s="11" t="s">
        <v>423</v>
      </c>
      <c r="Q32" s="11"/>
    </row>
    <row r="33" spans="1:17" ht="84" customHeight="1">
      <c r="A33" s="10">
        <v>27</v>
      </c>
      <c r="B33" s="10" t="s">
        <v>424</v>
      </c>
      <c r="C33" s="10" t="s">
        <v>540</v>
      </c>
      <c r="D33" s="10" t="s">
        <v>541</v>
      </c>
      <c r="E33" s="10" t="s">
        <v>427</v>
      </c>
      <c r="F33" s="10" t="s">
        <v>542</v>
      </c>
      <c r="G33" s="10" t="s">
        <v>556</v>
      </c>
      <c r="H33" s="10" t="s">
        <v>557</v>
      </c>
      <c r="I33" s="2" t="s">
        <v>558</v>
      </c>
      <c r="J33" s="10" t="s">
        <v>558</v>
      </c>
      <c r="K33" s="10" t="s">
        <v>432</v>
      </c>
      <c r="L33" s="10" t="s">
        <v>559</v>
      </c>
      <c r="M33" s="10" t="s">
        <v>560</v>
      </c>
      <c r="N33" s="10">
        <v>5254</v>
      </c>
      <c r="O33" s="11" t="s">
        <v>434</v>
      </c>
      <c r="P33" s="11" t="s">
        <v>423</v>
      </c>
      <c r="Q33" s="11"/>
    </row>
    <row r="34" spans="1:17" ht="84" customHeight="1">
      <c r="A34" s="10">
        <v>28</v>
      </c>
      <c r="B34" s="10" t="s">
        <v>424</v>
      </c>
      <c r="C34" s="10" t="s">
        <v>540</v>
      </c>
      <c r="D34" s="10" t="s">
        <v>541</v>
      </c>
      <c r="E34" s="10" t="s">
        <v>427</v>
      </c>
      <c r="F34" s="10" t="s">
        <v>542</v>
      </c>
      <c r="G34" s="10" t="s">
        <v>561</v>
      </c>
      <c r="H34" s="10" t="s">
        <v>562</v>
      </c>
      <c r="I34" s="2" t="s">
        <v>563</v>
      </c>
      <c r="J34" s="10" t="s">
        <v>563</v>
      </c>
      <c r="K34" s="10" t="s">
        <v>432</v>
      </c>
      <c r="L34" s="10" t="s">
        <v>563</v>
      </c>
      <c r="M34" s="10" t="s">
        <v>564</v>
      </c>
      <c r="N34" s="10">
        <v>0</v>
      </c>
      <c r="O34" s="11" t="s">
        <v>434</v>
      </c>
      <c r="P34" s="11" t="s">
        <v>423</v>
      </c>
      <c r="Q34" s="11"/>
    </row>
    <row r="35" spans="1:17" ht="84" customHeight="1">
      <c r="A35" s="10">
        <v>29</v>
      </c>
      <c r="B35" s="10" t="s">
        <v>424</v>
      </c>
      <c r="C35" s="10" t="s">
        <v>565</v>
      </c>
      <c r="D35" s="10" t="s">
        <v>566</v>
      </c>
      <c r="E35" s="10" t="s">
        <v>427</v>
      </c>
      <c r="F35" s="10" t="s">
        <v>567</v>
      </c>
      <c r="G35" s="10" t="s">
        <v>543</v>
      </c>
      <c r="H35" s="10" t="s">
        <v>544</v>
      </c>
      <c r="I35" s="2" t="s">
        <v>545</v>
      </c>
      <c r="J35" s="10" t="s">
        <v>545</v>
      </c>
      <c r="K35" s="10" t="s">
        <v>432</v>
      </c>
      <c r="L35" s="10" t="s">
        <v>545</v>
      </c>
      <c r="M35" s="10" t="s">
        <v>568</v>
      </c>
      <c r="N35" s="10">
        <v>21464</v>
      </c>
      <c r="O35" s="11" t="s">
        <v>434</v>
      </c>
      <c r="P35" s="11" t="s">
        <v>423</v>
      </c>
      <c r="Q35" s="11"/>
    </row>
    <row r="36" spans="1:17" ht="84" customHeight="1">
      <c r="A36" s="10">
        <v>30</v>
      </c>
      <c r="B36" s="10" t="s">
        <v>424</v>
      </c>
      <c r="C36" s="10" t="s">
        <v>565</v>
      </c>
      <c r="D36" s="10" t="s">
        <v>566</v>
      </c>
      <c r="E36" s="10" t="s">
        <v>427</v>
      </c>
      <c r="F36" s="10" t="s">
        <v>567</v>
      </c>
      <c r="G36" s="10" t="s">
        <v>547</v>
      </c>
      <c r="H36" s="10" t="s">
        <v>548</v>
      </c>
      <c r="I36" s="2" t="s">
        <v>549</v>
      </c>
      <c r="J36" s="10" t="s">
        <v>549</v>
      </c>
      <c r="K36" s="10" t="s">
        <v>432</v>
      </c>
      <c r="L36" s="10" t="s">
        <v>549</v>
      </c>
      <c r="M36" s="10" t="s">
        <v>569</v>
      </c>
      <c r="N36" s="10">
        <v>5294</v>
      </c>
      <c r="O36" s="11" t="s">
        <v>434</v>
      </c>
      <c r="P36" s="11" t="s">
        <v>423</v>
      </c>
      <c r="Q36" s="11"/>
    </row>
    <row r="37" spans="1:17" ht="84" customHeight="1">
      <c r="A37" s="10">
        <v>31</v>
      </c>
      <c r="B37" s="10" t="s">
        <v>424</v>
      </c>
      <c r="C37" s="10" t="s">
        <v>565</v>
      </c>
      <c r="D37" s="10" t="s">
        <v>566</v>
      </c>
      <c r="E37" s="10" t="s">
        <v>427</v>
      </c>
      <c r="F37" s="10" t="s">
        <v>567</v>
      </c>
      <c r="G37" s="10" t="s">
        <v>551</v>
      </c>
      <c r="H37" s="10" t="s">
        <v>552</v>
      </c>
      <c r="I37" s="2" t="s">
        <v>553</v>
      </c>
      <c r="J37" s="10" t="s">
        <v>553</v>
      </c>
      <c r="K37" s="10" t="s">
        <v>432</v>
      </c>
      <c r="L37" s="10" t="s">
        <v>554</v>
      </c>
      <c r="M37" s="10" t="s">
        <v>570</v>
      </c>
      <c r="N37" s="10">
        <v>8920</v>
      </c>
      <c r="O37" s="11" t="s">
        <v>434</v>
      </c>
      <c r="P37" s="11" t="s">
        <v>423</v>
      </c>
      <c r="Q37" s="11"/>
    </row>
    <row r="38" spans="1:17" ht="84" customHeight="1">
      <c r="A38" s="10">
        <v>32</v>
      </c>
      <c r="B38" s="10" t="s">
        <v>424</v>
      </c>
      <c r="C38" s="10" t="s">
        <v>565</v>
      </c>
      <c r="D38" s="10" t="s">
        <v>566</v>
      </c>
      <c r="E38" s="10" t="s">
        <v>427</v>
      </c>
      <c r="F38" s="10" t="s">
        <v>567</v>
      </c>
      <c r="G38" s="10" t="s">
        <v>556</v>
      </c>
      <c r="H38" s="10" t="s">
        <v>557</v>
      </c>
      <c r="I38" s="2" t="s">
        <v>558</v>
      </c>
      <c r="J38" s="10" t="s">
        <v>558</v>
      </c>
      <c r="K38" s="10" t="s">
        <v>432</v>
      </c>
      <c r="L38" s="10" t="s">
        <v>559</v>
      </c>
      <c r="M38" s="10" t="s">
        <v>571</v>
      </c>
      <c r="N38" s="10">
        <v>5254</v>
      </c>
      <c r="O38" s="11" t="s">
        <v>434</v>
      </c>
      <c r="P38" s="11" t="s">
        <v>423</v>
      </c>
      <c r="Q38" s="11"/>
    </row>
    <row r="39" spans="1:17" ht="84" customHeight="1">
      <c r="A39" s="10">
        <v>33</v>
      </c>
      <c r="B39" s="10" t="s">
        <v>424</v>
      </c>
      <c r="C39" s="10" t="s">
        <v>565</v>
      </c>
      <c r="D39" s="10" t="s">
        <v>566</v>
      </c>
      <c r="E39" s="10" t="s">
        <v>427</v>
      </c>
      <c r="F39" s="10" t="s">
        <v>567</v>
      </c>
      <c r="G39" s="10" t="s">
        <v>561</v>
      </c>
      <c r="H39" s="10" t="s">
        <v>562</v>
      </c>
      <c r="I39" s="2" t="s">
        <v>563</v>
      </c>
      <c r="J39" s="10" t="s">
        <v>563</v>
      </c>
      <c r="K39" s="10" t="s">
        <v>432</v>
      </c>
      <c r="L39" s="10" t="s">
        <v>563</v>
      </c>
      <c r="M39" s="10" t="s">
        <v>572</v>
      </c>
      <c r="N39" s="10">
        <v>0</v>
      </c>
      <c r="O39" s="11" t="s">
        <v>434</v>
      </c>
      <c r="P39" s="11" t="s">
        <v>423</v>
      </c>
      <c r="Q39" s="11"/>
    </row>
    <row r="40" spans="1:17" ht="84" customHeight="1">
      <c r="A40" s="10">
        <v>34</v>
      </c>
      <c r="B40" s="10" t="s">
        <v>424</v>
      </c>
      <c r="C40" s="10" t="s">
        <v>573</v>
      </c>
      <c r="D40" s="10" t="s">
        <v>574</v>
      </c>
      <c r="E40" s="10" t="s">
        <v>427</v>
      </c>
      <c r="F40" s="10" t="s">
        <v>575</v>
      </c>
      <c r="G40" s="10" t="s">
        <v>543</v>
      </c>
      <c r="H40" s="10" t="s">
        <v>544</v>
      </c>
      <c r="I40" s="2" t="s">
        <v>545</v>
      </c>
      <c r="J40" s="10" t="s">
        <v>545</v>
      </c>
      <c r="K40" s="10" t="s">
        <v>432</v>
      </c>
      <c r="L40" s="10" t="s">
        <v>545</v>
      </c>
      <c r="M40" s="10" t="s">
        <v>576</v>
      </c>
      <c r="N40" s="10">
        <v>21464</v>
      </c>
      <c r="O40" s="11" t="s">
        <v>434</v>
      </c>
      <c r="P40" s="11" t="s">
        <v>423</v>
      </c>
      <c r="Q40" s="11"/>
    </row>
    <row r="41" spans="1:17" ht="84" customHeight="1">
      <c r="A41" s="10">
        <v>35</v>
      </c>
      <c r="B41" s="10" t="s">
        <v>424</v>
      </c>
      <c r="C41" s="10" t="s">
        <v>573</v>
      </c>
      <c r="D41" s="10" t="s">
        <v>574</v>
      </c>
      <c r="E41" s="10" t="s">
        <v>427</v>
      </c>
      <c r="F41" s="10" t="s">
        <v>575</v>
      </c>
      <c r="G41" s="10" t="s">
        <v>547</v>
      </c>
      <c r="H41" s="10" t="s">
        <v>548</v>
      </c>
      <c r="I41" s="2" t="s">
        <v>549</v>
      </c>
      <c r="J41" s="10" t="s">
        <v>549</v>
      </c>
      <c r="K41" s="10" t="s">
        <v>432</v>
      </c>
      <c r="L41" s="10" t="s">
        <v>549</v>
      </c>
      <c r="M41" s="10" t="s">
        <v>577</v>
      </c>
      <c r="N41" s="10">
        <v>5294</v>
      </c>
      <c r="O41" s="11" t="s">
        <v>434</v>
      </c>
      <c r="P41" s="11" t="s">
        <v>423</v>
      </c>
      <c r="Q41" s="11"/>
    </row>
    <row r="42" spans="1:17" ht="84" customHeight="1">
      <c r="A42" s="10">
        <v>36</v>
      </c>
      <c r="B42" s="10" t="s">
        <v>424</v>
      </c>
      <c r="C42" s="10" t="s">
        <v>573</v>
      </c>
      <c r="D42" s="10" t="s">
        <v>574</v>
      </c>
      <c r="E42" s="10" t="s">
        <v>427</v>
      </c>
      <c r="F42" s="10" t="s">
        <v>575</v>
      </c>
      <c r="G42" s="10" t="s">
        <v>551</v>
      </c>
      <c r="H42" s="10" t="s">
        <v>552</v>
      </c>
      <c r="I42" s="2" t="s">
        <v>553</v>
      </c>
      <c r="J42" s="10" t="s">
        <v>553</v>
      </c>
      <c r="K42" s="10" t="s">
        <v>432</v>
      </c>
      <c r="L42" s="10" t="s">
        <v>554</v>
      </c>
      <c r="M42" s="10" t="s">
        <v>578</v>
      </c>
      <c r="N42" s="10">
        <v>8920</v>
      </c>
      <c r="O42" s="11" t="s">
        <v>434</v>
      </c>
      <c r="P42" s="11" t="s">
        <v>423</v>
      </c>
      <c r="Q42" s="11"/>
    </row>
    <row r="43" spans="1:17" ht="84" customHeight="1">
      <c r="A43" s="10">
        <v>37</v>
      </c>
      <c r="B43" s="10" t="s">
        <v>424</v>
      </c>
      <c r="C43" s="10" t="s">
        <v>573</v>
      </c>
      <c r="D43" s="10" t="s">
        <v>574</v>
      </c>
      <c r="E43" s="10" t="s">
        <v>427</v>
      </c>
      <c r="F43" s="10" t="s">
        <v>575</v>
      </c>
      <c r="G43" s="10" t="s">
        <v>556</v>
      </c>
      <c r="H43" s="10" t="s">
        <v>557</v>
      </c>
      <c r="I43" s="2" t="s">
        <v>558</v>
      </c>
      <c r="J43" s="10" t="s">
        <v>558</v>
      </c>
      <c r="K43" s="10" t="s">
        <v>432</v>
      </c>
      <c r="L43" s="10" t="s">
        <v>559</v>
      </c>
      <c r="M43" s="10" t="s">
        <v>579</v>
      </c>
      <c r="N43" s="10">
        <v>5254</v>
      </c>
      <c r="O43" s="11" t="s">
        <v>434</v>
      </c>
      <c r="P43" s="11" t="s">
        <v>423</v>
      </c>
      <c r="Q43" s="11"/>
    </row>
    <row r="44" spans="1:17" ht="84" customHeight="1">
      <c r="A44" s="10">
        <v>38</v>
      </c>
      <c r="B44" s="10" t="s">
        <v>424</v>
      </c>
      <c r="C44" s="10" t="s">
        <v>573</v>
      </c>
      <c r="D44" s="10" t="s">
        <v>574</v>
      </c>
      <c r="E44" s="10" t="s">
        <v>427</v>
      </c>
      <c r="F44" s="10" t="s">
        <v>575</v>
      </c>
      <c r="G44" s="10" t="s">
        <v>561</v>
      </c>
      <c r="H44" s="10" t="s">
        <v>562</v>
      </c>
      <c r="I44" s="2" t="s">
        <v>563</v>
      </c>
      <c r="J44" s="10" t="s">
        <v>563</v>
      </c>
      <c r="K44" s="10" t="s">
        <v>432</v>
      </c>
      <c r="L44" s="10" t="s">
        <v>563</v>
      </c>
      <c r="M44" s="10" t="s">
        <v>580</v>
      </c>
      <c r="N44" s="10">
        <v>0</v>
      </c>
      <c r="O44" s="11" t="s">
        <v>434</v>
      </c>
      <c r="P44" s="11" t="s">
        <v>423</v>
      </c>
      <c r="Q44" s="11"/>
    </row>
    <row r="45" spans="1:17" ht="84" customHeight="1">
      <c r="A45" s="10">
        <v>39</v>
      </c>
      <c r="B45" s="10" t="s">
        <v>424</v>
      </c>
      <c r="C45" s="10" t="s">
        <v>581</v>
      </c>
      <c r="D45" s="10" t="s">
        <v>582</v>
      </c>
      <c r="E45" s="10" t="s">
        <v>427</v>
      </c>
      <c r="F45" s="10" t="s">
        <v>583</v>
      </c>
      <c r="G45" s="10" t="s">
        <v>584</v>
      </c>
      <c r="H45" s="10" t="s">
        <v>585</v>
      </c>
      <c r="I45" s="2" t="s">
        <v>586</v>
      </c>
      <c r="J45" s="10" t="s">
        <v>586</v>
      </c>
      <c r="K45" s="10" t="s">
        <v>432</v>
      </c>
      <c r="L45" s="10" t="s">
        <v>586</v>
      </c>
      <c r="M45" s="10" t="s">
        <v>587</v>
      </c>
      <c r="N45" s="10">
        <v>1112</v>
      </c>
      <c r="O45" s="11" t="s">
        <v>434</v>
      </c>
      <c r="P45" s="11" t="s">
        <v>423</v>
      </c>
      <c r="Q45" s="11"/>
    </row>
    <row r="46" spans="1:17" ht="84" customHeight="1">
      <c r="A46" s="10">
        <v>40</v>
      </c>
      <c r="B46" s="10" t="s">
        <v>424</v>
      </c>
      <c r="C46" s="10" t="s">
        <v>581</v>
      </c>
      <c r="D46" s="10" t="s">
        <v>582</v>
      </c>
      <c r="E46" s="10" t="s">
        <v>427</v>
      </c>
      <c r="F46" s="10" t="s">
        <v>583</v>
      </c>
      <c r="G46" s="10" t="s">
        <v>588</v>
      </c>
      <c r="H46" s="10" t="s">
        <v>589</v>
      </c>
      <c r="I46" s="2" t="s">
        <v>590</v>
      </c>
      <c r="J46" s="10" t="s">
        <v>590</v>
      </c>
      <c r="K46" s="10" t="s">
        <v>432</v>
      </c>
      <c r="L46" s="10" t="s">
        <v>590</v>
      </c>
      <c r="M46" s="10" t="s">
        <v>591</v>
      </c>
      <c r="N46" s="10">
        <v>5021</v>
      </c>
      <c r="O46" s="11" t="s">
        <v>434</v>
      </c>
      <c r="P46" s="11" t="s">
        <v>423</v>
      </c>
      <c r="Q46" s="11"/>
    </row>
    <row r="47" spans="1:17" ht="84" customHeight="1">
      <c r="A47" s="10">
        <v>41</v>
      </c>
      <c r="B47" s="10" t="s">
        <v>424</v>
      </c>
      <c r="C47" s="10" t="s">
        <v>581</v>
      </c>
      <c r="D47" s="10" t="s">
        <v>582</v>
      </c>
      <c r="E47" s="10" t="s">
        <v>427</v>
      </c>
      <c r="F47" s="10" t="s">
        <v>583</v>
      </c>
      <c r="G47" s="10" t="s">
        <v>592</v>
      </c>
      <c r="H47" s="10" t="s">
        <v>593</v>
      </c>
      <c r="I47" s="2" t="s">
        <v>594</v>
      </c>
      <c r="J47" s="10" t="s">
        <v>594</v>
      </c>
      <c r="K47" s="10" t="s">
        <v>432</v>
      </c>
      <c r="L47" s="10" t="s">
        <v>594</v>
      </c>
      <c r="M47" s="10" t="s">
        <v>595</v>
      </c>
      <c r="N47" s="10">
        <v>3223</v>
      </c>
      <c r="O47" s="11" t="s">
        <v>434</v>
      </c>
      <c r="P47" s="11" t="s">
        <v>423</v>
      </c>
      <c r="Q47" s="11"/>
    </row>
    <row r="48" spans="1:17" ht="84" customHeight="1">
      <c r="A48" s="10">
        <v>42</v>
      </c>
      <c r="B48" s="10" t="s">
        <v>424</v>
      </c>
      <c r="C48" s="10" t="s">
        <v>581</v>
      </c>
      <c r="D48" s="10" t="s">
        <v>582</v>
      </c>
      <c r="E48" s="10" t="s">
        <v>427</v>
      </c>
      <c r="F48" s="10" t="s">
        <v>583</v>
      </c>
      <c r="G48" s="10" t="s">
        <v>596</v>
      </c>
      <c r="H48" s="10" t="s">
        <v>597</v>
      </c>
      <c r="I48" s="2" t="s">
        <v>598</v>
      </c>
      <c r="J48" s="10" t="s">
        <v>598</v>
      </c>
      <c r="K48" s="10" t="s">
        <v>432</v>
      </c>
      <c r="L48" s="10" t="s">
        <v>598</v>
      </c>
      <c r="M48" s="10" t="s">
        <v>599</v>
      </c>
      <c r="N48" s="10">
        <v>7270</v>
      </c>
      <c r="O48" s="11" t="s">
        <v>434</v>
      </c>
      <c r="P48" s="11" t="s">
        <v>423</v>
      </c>
      <c r="Q48" s="11"/>
    </row>
    <row r="49" spans="1:17" ht="84" customHeight="1">
      <c r="A49" s="10">
        <v>43</v>
      </c>
      <c r="B49" s="10" t="s">
        <v>424</v>
      </c>
      <c r="C49" s="10" t="s">
        <v>600</v>
      </c>
      <c r="D49" s="10" t="s">
        <v>601</v>
      </c>
      <c r="E49" s="10" t="s">
        <v>427</v>
      </c>
      <c r="F49" s="10" t="s">
        <v>601</v>
      </c>
      <c r="G49" s="10" t="s">
        <v>556</v>
      </c>
      <c r="H49" s="10" t="s">
        <v>557</v>
      </c>
      <c r="I49" s="2" t="s">
        <v>558</v>
      </c>
      <c r="J49" s="10" t="s">
        <v>558</v>
      </c>
      <c r="K49" s="10" t="s">
        <v>432</v>
      </c>
      <c r="L49" s="10" t="s">
        <v>559</v>
      </c>
      <c r="M49" s="10" t="s">
        <v>602</v>
      </c>
      <c r="N49" s="10">
        <v>5254</v>
      </c>
      <c r="O49" s="11" t="s">
        <v>434</v>
      </c>
      <c r="P49" s="11" t="s">
        <v>423</v>
      </c>
      <c r="Q49" s="11"/>
    </row>
    <row r="50" spans="1:17" ht="84" customHeight="1">
      <c r="A50" s="10">
        <v>44</v>
      </c>
      <c r="B50" s="10" t="s">
        <v>424</v>
      </c>
      <c r="C50" s="10" t="s">
        <v>603</v>
      </c>
      <c r="D50" s="10" t="s">
        <v>604</v>
      </c>
      <c r="E50" s="10" t="s">
        <v>427</v>
      </c>
      <c r="F50" s="10" t="s">
        <v>604</v>
      </c>
      <c r="G50" s="10" t="s">
        <v>556</v>
      </c>
      <c r="H50" s="10" t="s">
        <v>557</v>
      </c>
      <c r="I50" s="2" t="s">
        <v>558</v>
      </c>
      <c r="J50" s="10" t="s">
        <v>558</v>
      </c>
      <c r="K50" s="10" t="s">
        <v>432</v>
      </c>
      <c r="L50" s="10" t="s">
        <v>559</v>
      </c>
      <c r="M50" s="10" t="s">
        <v>605</v>
      </c>
      <c r="N50" s="10">
        <v>5254</v>
      </c>
      <c r="O50" s="11" t="s">
        <v>434</v>
      </c>
      <c r="P50" s="11" t="s">
        <v>423</v>
      </c>
      <c r="Q50" s="11"/>
    </row>
    <row r="51" spans="1:17" ht="84" customHeight="1">
      <c r="A51" s="10">
        <v>45</v>
      </c>
      <c r="B51" s="10" t="s">
        <v>424</v>
      </c>
      <c r="C51" s="10" t="s">
        <v>606</v>
      </c>
      <c r="D51" s="10" t="s">
        <v>607</v>
      </c>
      <c r="E51" s="10" t="s">
        <v>427</v>
      </c>
      <c r="F51" s="10" t="s">
        <v>607</v>
      </c>
      <c r="G51" s="10" t="s">
        <v>556</v>
      </c>
      <c r="H51" s="10" t="s">
        <v>557</v>
      </c>
      <c r="I51" s="2" t="s">
        <v>558</v>
      </c>
      <c r="J51" s="10" t="s">
        <v>558</v>
      </c>
      <c r="K51" s="10" t="s">
        <v>432</v>
      </c>
      <c r="L51" s="10" t="s">
        <v>559</v>
      </c>
      <c r="M51" s="10" t="s">
        <v>608</v>
      </c>
      <c r="N51" s="10">
        <v>5254</v>
      </c>
      <c r="O51" s="11" t="s">
        <v>434</v>
      </c>
      <c r="P51" s="11" t="s">
        <v>423</v>
      </c>
      <c r="Q51" s="11"/>
    </row>
    <row r="52" spans="1:17" ht="45" customHeight="1">
      <c r="A52" s="10">
        <v>46</v>
      </c>
      <c r="B52" s="10" t="s">
        <v>609</v>
      </c>
      <c r="C52" s="10" t="s">
        <v>184</v>
      </c>
      <c r="D52" s="10" t="s">
        <v>184</v>
      </c>
      <c r="E52" s="10" t="s">
        <v>184</v>
      </c>
      <c r="F52" s="10" t="s">
        <v>184</v>
      </c>
      <c r="G52" s="10" t="s">
        <v>610</v>
      </c>
      <c r="H52" s="10" t="s">
        <v>611</v>
      </c>
      <c r="I52" s="2" t="s">
        <v>612</v>
      </c>
      <c r="J52" s="10" t="s">
        <v>613</v>
      </c>
      <c r="K52" s="10" t="s">
        <v>432</v>
      </c>
      <c r="L52" s="10" t="s">
        <v>614</v>
      </c>
      <c r="M52" s="10" t="s">
        <v>615</v>
      </c>
      <c r="N52" s="10">
        <v>0</v>
      </c>
      <c r="O52" s="11" t="s">
        <v>434</v>
      </c>
      <c r="P52" s="10" t="s">
        <v>184</v>
      </c>
      <c r="Q52" s="11"/>
    </row>
    <row r="53" spans="1:17" ht="45" customHeight="1">
      <c r="A53" s="10">
        <v>47</v>
      </c>
      <c r="B53" s="10" t="s">
        <v>609</v>
      </c>
      <c r="C53" s="10" t="s">
        <v>184</v>
      </c>
      <c r="D53" s="10" t="s">
        <v>184</v>
      </c>
      <c r="E53" s="10" t="s">
        <v>184</v>
      </c>
      <c r="F53" s="10" t="s">
        <v>184</v>
      </c>
      <c r="G53" s="10" t="s">
        <v>429</v>
      </c>
      <c r="H53" s="10" t="s">
        <v>438</v>
      </c>
      <c r="I53" s="10" t="s">
        <v>184</v>
      </c>
      <c r="J53" s="10" t="s">
        <v>436</v>
      </c>
      <c r="K53" s="10" t="s">
        <v>439</v>
      </c>
      <c r="L53" s="10" t="s">
        <v>431</v>
      </c>
      <c r="M53" s="10" t="s">
        <v>616</v>
      </c>
      <c r="N53" s="10">
        <v>0</v>
      </c>
      <c r="O53" s="11" t="s">
        <v>418</v>
      </c>
      <c r="P53" s="10" t="s">
        <v>184</v>
      </c>
      <c r="Q53" s="11"/>
    </row>
    <row r="54" spans="1:17" ht="45" customHeight="1">
      <c r="A54" s="10">
        <v>48</v>
      </c>
      <c r="B54" s="10" t="s">
        <v>609</v>
      </c>
      <c r="C54" s="10" t="s">
        <v>184</v>
      </c>
      <c r="D54" s="10" t="s">
        <v>184</v>
      </c>
      <c r="E54" s="10" t="s">
        <v>184</v>
      </c>
      <c r="F54" s="10" t="s">
        <v>184</v>
      </c>
      <c r="G54" s="10" t="s">
        <v>617</v>
      </c>
      <c r="H54" s="10" t="s">
        <v>438</v>
      </c>
      <c r="I54" s="10" t="s">
        <v>184</v>
      </c>
      <c r="J54" s="10" t="s">
        <v>618</v>
      </c>
      <c r="K54" s="10" t="s">
        <v>439</v>
      </c>
      <c r="L54" s="10" t="s">
        <v>619</v>
      </c>
      <c r="M54" s="10" t="s">
        <v>620</v>
      </c>
      <c r="N54" s="10">
        <v>0</v>
      </c>
      <c r="O54" s="11" t="s">
        <v>418</v>
      </c>
      <c r="P54" s="10" t="s">
        <v>184</v>
      </c>
      <c r="Q54" s="11"/>
    </row>
    <row r="55" spans="1:17" ht="45" customHeight="1">
      <c r="A55" s="10">
        <v>49</v>
      </c>
      <c r="B55" s="10" t="s">
        <v>609</v>
      </c>
      <c r="C55" s="10" t="s">
        <v>184</v>
      </c>
      <c r="D55" s="10" t="s">
        <v>184</v>
      </c>
      <c r="E55" s="10" t="s">
        <v>184</v>
      </c>
      <c r="F55" s="10" t="s">
        <v>184</v>
      </c>
      <c r="G55" s="10" t="s">
        <v>621</v>
      </c>
      <c r="H55" s="10" t="s">
        <v>413</v>
      </c>
      <c r="I55" s="10" t="s">
        <v>184</v>
      </c>
      <c r="J55" s="10" t="s">
        <v>622</v>
      </c>
      <c r="K55" s="10" t="s">
        <v>415</v>
      </c>
      <c r="L55" s="10" t="s">
        <v>623</v>
      </c>
      <c r="M55" s="10" t="s">
        <v>624</v>
      </c>
      <c r="N55" s="10">
        <v>0</v>
      </c>
      <c r="O55" s="11" t="s">
        <v>423</v>
      </c>
      <c r="P55" s="10" t="s">
        <v>184</v>
      </c>
      <c r="Q55" s="11"/>
    </row>
    <row r="56" spans="1:17" ht="45" customHeight="1">
      <c r="A56" s="10">
        <v>50</v>
      </c>
      <c r="B56" s="10" t="s">
        <v>609</v>
      </c>
      <c r="C56" s="10" t="s">
        <v>184</v>
      </c>
      <c r="D56" s="10" t="s">
        <v>184</v>
      </c>
      <c r="E56" s="10" t="s">
        <v>184</v>
      </c>
      <c r="F56" s="10" t="s">
        <v>184</v>
      </c>
      <c r="G56" s="10" t="s">
        <v>625</v>
      </c>
      <c r="H56" s="10" t="s">
        <v>626</v>
      </c>
      <c r="I56" s="2" t="s">
        <v>627</v>
      </c>
      <c r="J56" s="10" t="s">
        <v>627</v>
      </c>
      <c r="K56" s="10" t="s">
        <v>432</v>
      </c>
      <c r="L56" s="10" t="s">
        <v>628</v>
      </c>
      <c r="M56" s="10" t="s">
        <v>629</v>
      </c>
      <c r="N56" s="10">
        <v>556</v>
      </c>
      <c r="O56" s="11" t="s">
        <v>434</v>
      </c>
      <c r="P56" s="10" t="s">
        <v>184</v>
      </c>
      <c r="Q56" s="11"/>
    </row>
    <row r="57" spans="1:17" ht="84" customHeight="1">
      <c r="A57" s="10">
        <v>51</v>
      </c>
      <c r="B57" s="10" t="s">
        <v>424</v>
      </c>
      <c r="C57" s="10" t="s">
        <v>630</v>
      </c>
      <c r="D57" s="10" t="s">
        <v>631</v>
      </c>
      <c r="E57" s="10" t="s">
        <v>427</v>
      </c>
      <c r="F57" s="10" t="s">
        <v>632</v>
      </c>
      <c r="G57" s="10" t="s">
        <v>633</v>
      </c>
      <c r="H57" s="10" t="s">
        <v>634</v>
      </c>
      <c r="I57" s="2" t="s">
        <v>632</v>
      </c>
      <c r="J57" s="10" t="s">
        <v>632</v>
      </c>
      <c r="K57" s="10" t="s">
        <v>432</v>
      </c>
      <c r="L57" s="10"/>
      <c r="M57" s="10" t="s">
        <v>635</v>
      </c>
      <c r="N57" s="10">
        <v>0</v>
      </c>
      <c r="O57" s="11" t="s">
        <v>434</v>
      </c>
      <c r="P57" s="11" t="s">
        <v>418</v>
      </c>
      <c r="Q57" s="11"/>
    </row>
    <row r="58" spans="1:17" ht="45" customHeight="1">
      <c r="A58" s="10">
        <v>52</v>
      </c>
      <c r="B58" s="10" t="s">
        <v>609</v>
      </c>
      <c r="C58" s="10" t="s">
        <v>184</v>
      </c>
      <c r="D58" s="10" t="s">
        <v>184</v>
      </c>
      <c r="E58" s="10" t="s">
        <v>184</v>
      </c>
      <c r="F58" s="10" t="s">
        <v>184</v>
      </c>
      <c r="G58" s="10" t="s">
        <v>636</v>
      </c>
      <c r="H58" s="10" t="s">
        <v>637</v>
      </c>
      <c r="I58" s="2" t="s">
        <v>638</v>
      </c>
      <c r="J58" s="10" t="s">
        <v>480</v>
      </c>
      <c r="K58" s="3" t="s">
        <v>481</v>
      </c>
      <c r="L58" s="10" t="s">
        <v>639</v>
      </c>
      <c r="M58" s="10" t="s">
        <v>640</v>
      </c>
      <c r="N58" s="10">
        <v>524</v>
      </c>
      <c r="O58" s="11" t="s">
        <v>434</v>
      </c>
      <c r="P58" s="10" t="s">
        <v>184</v>
      </c>
      <c r="Q58" s="11"/>
    </row>
    <row r="59" spans="1:17" ht="45" customHeight="1">
      <c r="A59" s="10">
        <v>53</v>
      </c>
      <c r="B59" s="10" t="s">
        <v>609</v>
      </c>
      <c r="C59" s="10" t="s">
        <v>184</v>
      </c>
      <c r="D59" s="10" t="s">
        <v>184</v>
      </c>
      <c r="E59" s="10" t="s">
        <v>184</v>
      </c>
      <c r="F59" s="10" t="s">
        <v>184</v>
      </c>
      <c r="G59" s="10" t="s">
        <v>473</v>
      </c>
      <c r="H59" s="10" t="s">
        <v>641</v>
      </c>
      <c r="I59" s="2" t="s">
        <v>475</v>
      </c>
      <c r="J59" s="10" t="s">
        <v>475</v>
      </c>
      <c r="K59" s="10" t="s">
        <v>432</v>
      </c>
      <c r="L59" s="10" t="s">
        <v>563</v>
      </c>
      <c r="M59" s="10" t="s">
        <v>642</v>
      </c>
      <c r="N59" s="10">
        <v>734</v>
      </c>
      <c r="O59" s="11" t="s">
        <v>434</v>
      </c>
      <c r="P59" s="10" t="s">
        <v>184</v>
      </c>
      <c r="Q59" s="11"/>
    </row>
    <row r="60" spans="1:17" ht="45" customHeight="1">
      <c r="A60" s="10">
        <v>54</v>
      </c>
      <c r="B60" s="10" t="s">
        <v>609</v>
      </c>
      <c r="C60" s="10" t="s">
        <v>184</v>
      </c>
      <c r="D60" s="10" t="s">
        <v>184</v>
      </c>
      <c r="E60" s="10" t="s">
        <v>184</v>
      </c>
      <c r="F60" s="10" t="s">
        <v>184</v>
      </c>
      <c r="G60" s="10" t="s">
        <v>643</v>
      </c>
      <c r="H60" s="10" t="s">
        <v>644</v>
      </c>
      <c r="I60" s="2" t="s">
        <v>645</v>
      </c>
      <c r="J60" s="10" t="s">
        <v>645</v>
      </c>
      <c r="K60" s="10" t="s">
        <v>432</v>
      </c>
      <c r="L60" s="10" t="s">
        <v>645</v>
      </c>
      <c r="M60" s="10" t="s">
        <v>646</v>
      </c>
      <c r="N60" s="10">
        <v>262</v>
      </c>
      <c r="O60" s="11" t="s">
        <v>434</v>
      </c>
      <c r="P60" s="10" t="s">
        <v>184</v>
      </c>
      <c r="Q60" s="11"/>
    </row>
    <row r="61" spans="1:17" ht="45" customHeight="1">
      <c r="A61" s="10">
        <v>55</v>
      </c>
      <c r="B61" s="10" t="s">
        <v>609</v>
      </c>
      <c r="C61" s="10" t="s">
        <v>184</v>
      </c>
      <c r="D61" s="10" t="s">
        <v>184</v>
      </c>
      <c r="E61" s="10" t="s">
        <v>184</v>
      </c>
      <c r="F61" s="10" t="s">
        <v>184</v>
      </c>
      <c r="G61" s="10" t="s">
        <v>647</v>
      </c>
      <c r="H61" s="10" t="s">
        <v>648</v>
      </c>
      <c r="I61" s="2" t="s">
        <v>649</v>
      </c>
      <c r="J61" s="10" t="s">
        <v>649</v>
      </c>
      <c r="K61" s="10" t="s">
        <v>432</v>
      </c>
      <c r="L61" s="10" t="s">
        <v>650</v>
      </c>
      <c r="M61" s="10" t="s">
        <v>651</v>
      </c>
      <c r="N61" s="10">
        <v>0</v>
      </c>
      <c r="O61" s="11" t="s">
        <v>434</v>
      </c>
      <c r="P61" s="10" t="s">
        <v>184</v>
      </c>
      <c r="Q61" s="11"/>
    </row>
    <row r="62" spans="1:17" ht="45" customHeight="1">
      <c r="A62" s="10">
        <v>56</v>
      </c>
      <c r="B62" s="10" t="s">
        <v>609</v>
      </c>
      <c r="C62" s="10" t="s">
        <v>184</v>
      </c>
      <c r="D62" s="10" t="s">
        <v>184</v>
      </c>
      <c r="E62" s="10" t="s">
        <v>184</v>
      </c>
      <c r="F62" s="10" t="s">
        <v>184</v>
      </c>
      <c r="G62" s="10" t="s">
        <v>652</v>
      </c>
      <c r="H62" s="10" t="s">
        <v>653</v>
      </c>
      <c r="I62" s="2" t="s">
        <v>654</v>
      </c>
      <c r="J62" s="10" t="s">
        <v>654</v>
      </c>
      <c r="K62" s="10" t="s">
        <v>432</v>
      </c>
      <c r="L62" s="10" t="s">
        <v>655</v>
      </c>
      <c r="M62" s="10" t="s">
        <v>656</v>
      </c>
      <c r="N62" s="10">
        <v>0</v>
      </c>
      <c r="O62" s="11" t="s">
        <v>434</v>
      </c>
      <c r="P62" s="10" t="s">
        <v>184</v>
      </c>
      <c r="Q62" s="11"/>
    </row>
    <row r="63" spans="1:17" ht="45" customHeight="1">
      <c r="A63" s="10">
        <v>57</v>
      </c>
      <c r="B63" s="10" t="s">
        <v>657</v>
      </c>
      <c r="C63" s="10" t="s">
        <v>184</v>
      </c>
      <c r="D63" s="10" t="s">
        <v>184</v>
      </c>
      <c r="E63" s="10" t="s">
        <v>184</v>
      </c>
      <c r="F63" s="10" t="s">
        <v>184</v>
      </c>
      <c r="G63" s="10" t="s">
        <v>658</v>
      </c>
      <c r="H63" s="10" t="s">
        <v>659</v>
      </c>
      <c r="I63" s="2" t="s">
        <v>660</v>
      </c>
      <c r="J63" s="10" t="s">
        <v>660</v>
      </c>
      <c r="K63" s="10" t="s">
        <v>432</v>
      </c>
      <c r="L63" s="10" t="s">
        <v>661</v>
      </c>
      <c r="M63" s="10" t="s">
        <v>662</v>
      </c>
      <c r="N63" s="10">
        <v>0</v>
      </c>
      <c r="O63" s="11" t="s">
        <v>434</v>
      </c>
      <c r="P63" s="10" t="s">
        <v>184</v>
      </c>
      <c r="Q63" s="11"/>
    </row>
    <row r="64" spans="1:17" ht="45" customHeight="1">
      <c r="A64" s="10">
        <v>58</v>
      </c>
      <c r="B64" s="10" t="s">
        <v>657</v>
      </c>
      <c r="C64" s="10" t="s">
        <v>184</v>
      </c>
      <c r="D64" s="10" t="s">
        <v>184</v>
      </c>
      <c r="E64" s="10" t="s">
        <v>184</v>
      </c>
      <c r="F64" s="10" t="s">
        <v>184</v>
      </c>
      <c r="G64" s="10" t="s">
        <v>663</v>
      </c>
      <c r="H64" s="10" t="s">
        <v>664</v>
      </c>
      <c r="I64" s="2" t="s">
        <v>665</v>
      </c>
      <c r="J64" s="10" t="s">
        <v>665</v>
      </c>
      <c r="K64" s="10" t="s">
        <v>432</v>
      </c>
      <c r="L64" s="10" t="s">
        <v>666</v>
      </c>
      <c r="M64" s="10" t="s">
        <v>667</v>
      </c>
      <c r="N64" s="10">
        <v>228</v>
      </c>
      <c r="O64" s="11" t="s">
        <v>434</v>
      </c>
      <c r="P64" s="10" t="s">
        <v>184</v>
      </c>
      <c r="Q64" s="11"/>
    </row>
    <row r="65" spans="1:17" ht="45" customHeight="1">
      <c r="A65" s="10">
        <v>59</v>
      </c>
      <c r="B65" s="10" t="s">
        <v>609</v>
      </c>
      <c r="C65" s="10" t="s">
        <v>184</v>
      </c>
      <c r="D65" s="10" t="s">
        <v>184</v>
      </c>
      <c r="E65" s="10" t="s">
        <v>184</v>
      </c>
      <c r="F65" s="10" t="s">
        <v>184</v>
      </c>
      <c r="G65" s="10" t="s">
        <v>463</v>
      </c>
      <c r="H65" s="10" t="s">
        <v>464</v>
      </c>
      <c r="I65" s="2" t="s">
        <v>465</v>
      </c>
      <c r="J65" s="10" t="s">
        <v>465</v>
      </c>
      <c r="K65" s="10" t="s">
        <v>432</v>
      </c>
      <c r="L65" s="10" t="s">
        <v>466</v>
      </c>
      <c r="M65" s="10" t="s">
        <v>668</v>
      </c>
      <c r="N65" s="10">
        <v>0</v>
      </c>
      <c r="O65" s="11" t="s">
        <v>434</v>
      </c>
      <c r="P65" s="10" t="s">
        <v>184</v>
      </c>
      <c r="Q65" s="11"/>
    </row>
    <row r="66" spans="1:17" ht="45" customHeight="1">
      <c r="A66" s="10">
        <v>60</v>
      </c>
      <c r="B66" s="10" t="s">
        <v>609</v>
      </c>
      <c r="C66" s="10" t="s">
        <v>184</v>
      </c>
      <c r="D66" s="10" t="s">
        <v>184</v>
      </c>
      <c r="E66" s="10" t="s">
        <v>184</v>
      </c>
      <c r="F66" s="10" t="s">
        <v>184</v>
      </c>
      <c r="G66" s="10" t="s">
        <v>468</v>
      </c>
      <c r="H66" s="10" t="s">
        <v>469</v>
      </c>
      <c r="I66" s="2" t="s">
        <v>470</v>
      </c>
      <c r="J66" s="10" t="s">
        <v>470</v>
      </c>
      <c r="K66" s="10" t="s">
        <v>432</v>
      </c>
      <c r="L66" s="10" t="s">
        <v>471</v>
      </c>
      <c r="M66" s="10" t="s">
        <v>669</v>
      </c>
      <c r="N66" s="10">
        <v>0</v>
      </c>
      <c r="O66" s="11" t="s">
        <v>434</v>
      </c>
      <c r="P66" s="10" t="s">
        <v>184</v>
      </c>
      <c r="Q66" s="11"/>
    </row>
    <row r="67" spans="1:17" ht="45" customHeight="1">
      <c r="A67" s="10">
        <v>61</v>
      </c>
      <c r="B67" s="10" t="s">
        <v>609</v>
      </c>
      <c r="C67" s="10" t="s">
        <v>184</v>
      </c>
      <c r="D67" s="10" t="s">
        <v>184</v>
      </c>
      <c r="E67" s="10" t="s">
        <v>184</v>
      </c>
      <c r="F67" s="10" t="s">
        <v>184</v>
      </c>
      <c r="G67" s="10" t="s">
        <v>670</v>
      </c>
      <c r="H67" s="10" t="s">
        <v>671</v>
      </c>
      <c r="I67" s="2" t="s">
        <v>545</v>
      </c>
      <c r="J67" s="10" t="s">
        <v>545</v>
      </c>
      <c r="K67" s="10" t="s">
        <v>432</v>
      </c>
      <c r="L67" s="10" t="s">
        <v>672</v>
      </c>
      <c r="M67" s="10" t="s">
        <v>673</v>
      </c>
      <c r="N67" s="10">
        <v>21464</v>
      </c>
      <c r="O67" s="11" t="s">
        <v>434</v>
      </c>
      <c r="P67" s="10" t="s">
        <v>184</v>
      </c>
      <c r="Q67" s="11"/>
    </row>
    <row r="68" spans="1:17" ht="45" customHeight="1">
      <c r="A68" s="10">
        <v>62</v>
      </c>
      <c r="B68" s="10" t="s">
        <v>609</v>
      </c>
      <c r="C68" s="10" t="s">
        <v>184</v>
      </c>
      <c r="D68" s="10" t="s">
        <v>184</v>
      </c>
      <c r="E68" s="10" t="s">
        <v>184</v>
      </c>
      <c r="F68" s="10" t="s">
        <v>184</v>
      </c>
      <c r="G68" s="10" t="s">
        <v>674</v>
      </c>
      <c r="H68" s="10" t="s">
        <v>675</v>
      </c>
      <c r="I68" s="2" t="s">
        <v>676</v>
      </c>
      <c r="J68" s="10" t="s">
        <v>676</v>
      </c>
      <c r="K68" s="10" t="s">
        <v>432</v>
      </c>
      <c r="L68" s="10" t="s">
        <v>677</v>
      </c>
      <c r="M68" s="10" t="s">
        <v>678</v>
      </c>
      <c r="N68" s="10">
        <v>0</v>
      </c>
      <c r="O68" s="11" t="s">
        <v>434</v>
      </c>
      <c r="P68" s="10" t="s">
        <v>184</v>
      </c>
      <c r="Q68" s="11"/>
    </row>
    <row r="69" spans="1:17" ht="45" customHeight="1">
      <c r="A69" s="10">
        <v>63</v>
      </c>
      <c r="B69" s="10" t="s">
        <v>609</v>
      </c>
      <c r="C69" s="10" t="s">
        <v>184</v>
      </c>
      <c r="D69" s="10" t="s">
        <v>184</v>
      </c>
      <c r="E69" s="10" t="s">
        <v>184</v>
      </c>
      <c r="F69" s="10" t="s">
        <v>184</v>
      </c>
      <c r="G69" s="10" t="s">
        <v>679</v>
      </c>
      <c r="H69" s="10" t="s">
        <v>680</v>
      </c>
      <c r="I69" s="2" t="s">
        <v>681</v>
      </c>
      <c r="J69" s="10" t="s">
        <v>681</v>
      </c>
      <c r="K69" s="10" t="s">
        <v>432</v>
      </c>
      <c r="L69" s="10" t="s">
        <v>682</v>
      </c>
      <c r="M69" s="10" t="s">
        <v>683</v>
      </c>
      <c r="N69" s="10">
        <v>0</v>
      </c>
      <c r="O69" s="11" t="s">
        <v>434</v>
      </c>
      <c r="P69" s="10" t="s">
        <v>184</v>
      </c>
      <c r="Q69" s="11"/>
    </row>
    <row r="70" spans="1:17" ht="45" customHeight="1">
      <c r="A70" s="10">
        <v>64</v>
      </c>
      <c r="B70" s="10" t="s">
        <v>609</v>
      </c>
      <c r="C70" s="10" t="s">
        <v>184</v>
      </c>
      <c r="D70" s="10" t="s">
        <v>184</v>
      </c>
      <c r="E70" s="10" t="s">
        <v>184</v>
      </c>
      <c r="F70" s="10" t="s">
        <v>184</v>
      </c>
      <c r="G70" s="10" t="s">
        <v>556</v>
      </c>
      <c r="H70" s="10" t="s">
        <v>557</v>
      </c>
      <c r="I70" s="2" t="s">
        <v>558</v>
      </c>
      <c r="J70" s="10" t="s">
        <v>558</v>
      </c>
      <c r="K70" s="10" t="s">
        <v>432</v>
      </c>
      <c r="L70" s="10" t="s">
        <v>559</v>
      </c>
      <c r="M70" s="10" t="s">
        <v>684</v>
      </c>
      <c r="N70" s="10">
        <v>5254</v>
      </c>
      <c r="O70" s="11" t="s">
        <v>434</v>
      </c>
      <c r="P70" s="10" t="s">
        <v>184</v>
      </c>
      <c r="Q70" s="11"/>
    </row>
    <row r="71" spans="1:17" ht="57.75" customHeight="1">
      <c r="A71" s="10">
        <v>65</v>
      </c>
      <c r="B71" s="10" t="s">
        <v>609</v>
      </c>
      <c r="C71" s="10" t="s">
        <v>184</v>
      </c>
      <c r="D71" s="10" t="s">
        <v>184</v>
      </c>
      <c r="E71" s="10" t="s">
        <v>184</v>
      </c>
      <c r="F71" s="10" t="s">
        <v>184</v>
      </c>
      <c r="G71" s="10" t="s">
        <v>503</v>
      </c>
      <c r="H71" s="10" t="s">
        <v>504</v>
      </c>
      <c r="I71" s="2" t="s">
        <v>505</v>
      </c>
      <c r="J71" s="10" t="s">
        <v>506</v>
      </c>
      <c r="K71" s="10" t="s">
        <v>432</v>
      </c>
      <c r="L71" s="10" t="s">
        <v>507</v>
      </c>
      <c r="M71" s="10" t="s">
        <v>685</v>
      </c>
      <c r="N71" s="10">
        <v>4948</v>
      </c>
      <c r="O71" s="11" t="s">
        <v>434</v>
      </c>
      <c r="P71" s="10" t="s">
        <v>184</v>
      </c>
      <c r="Q71" s="11"/>
    </row>
    <row r="72" spans="1:17" ht="45" customHeight="1">
      <c r="A72" s="10">
        <v>66</v>
      </c>
      <c r="B72" s="10" t="s">
        <v>609</v>
      </c>
      <c r="C72" s="10" t="s">
        <v>184</v>
      </c>
      <c r="D72" s="10" t="s">
        <v>184</v>
      </c>
      <c r="E72" s="10" t="s">
        <v>184</v>
      </c>
      <c r="F72" s="10" t="s">
        <v>184</v>
      </c>
      <c r="G72" s="10" t="s">
        <v>509</v>
      </c>
      <c r="H72" s="10" t="s">
        <v>510</v>
      </c>
      <c r="I72" s="2" t="s">
        <v>511</v>
      </c>
      <c r="J72" s="10" t="s">
        <v>512</v>
      </c>
      <c r="K72" s="10" t="s">
        <v>432</v>
      </c>
      <c r="L72" s="10" t="s">
        <v>513</v>
      </c>
      <c r="M72" s="10" t="s">
        <v>686</v>
      </c>
      <c r="N72" s="10">
        <v>3032</v>
      </c>
      <c r="O72" s="11" t="s">
        <v>434</v>
      </c>
      <c r="P72" s="10" t="s">
        <v>184</v>
      </c>
      <c r="Q72" s="11"/>
    </row>
    <row r="73" spans="1:17" ht="45" customHeight="1">
      <c r="A73" s="10">
        <v>67</v>
      </c>
      <c r="B73" s="10" t="s">
        <v>609</v>
      </c>
      <c r="C73" s="10" t="s">
        <v>184</v>
      </c>
      <c r="D73" s="10" t="s">
        <v>184</v>
      </c>
      <c r="E73" s="10" t="s">
        <v>184</v>
      </c>
      <c r="F73" s="10" t="s">
        <v>184</v>
      </c>
      <c r="G73" s="10" t="s">
        <v>515</v>
      </c>
      <c r="H73" s="10" t="s">
        <v>516</v>
      </c>
      <c r="I73" s="2" t="s">
        <v>517</v>
      </c>
      <c r="J73" s="10" t="s">
        <v>518</v>
      </c>
      <c r="K73" s="10" t="s">
        <v>432</v>
      </c>
      <c r="L73" s="10" t="s">
        <v>519</v>
      </c>
      <c r="M73" s="10" t="s">
        <v>687</v>
      </c>
      <c r="N73" s="10">
        <v>1458</v>
      </c>
      <c r="O73" s="11" t="s">
        <v>434</v>
      </c>
      <c r="P73" s="10" t="s">
        <v>184</v>
      </c>
      <c r="Q73" s="11"/>
    </row>
    <row r="74" spans="1:17" ht="45" customHeight="1">
      <c r="A74" s="10">
        <v>68</v>
      </c>
      <c r="B74" s="10" t="s">
        <v>609</v>
      </c>
      <c r="C74" s="10" t="s">
        <v>184</v>
      </c>
      <c r="D74" s="10" t="s">
        <v>184</v>
      </c>
      <c r="E74" s="10" t="s">
        <v>184</v>
      </c>
      <c r="F74" s="10" t="s">
        <v>184</v>
      </c>
      <c r="G74" s="10" t="s">
        <v>521</v>
      </c>
      <c r="H74" s="10" t="s">
        <v>522</v>
      </c>
      <c r="I74" s="2" t="s">
        <v>523</v>
      </c>
      <c r="J74" s="10" t="s">
        <v>524</v>
      </c>
      <c r="K74" s="10" t="s">
        <v>432</v>
      </c>
      <c r="L74" s="10" t="s">
        <v>525</v>
      </c>
      <c r="M74" s="10" t="s">
        <v>688</v>
      </c>
      <c r="N74" s="10">
        <v>862</v>
      </c>
      <c r="O74" s="11" t="s">
        <v>434</v>
      </c>
      <c r="P74" s="10" t="s">
        <v>184</v>
      </c>
      <c r="Q74" s="11"/>
    </row>
    <row r="75" spans="1:17" ht="57.75" customHeight="1">
      <c r="A75" s="10">
        <v>69</v>
      </c>
      <c r="B75" s="10" t="s">
        <v>609</v>
      </c>
      <c r="C75" s="10" t="s">
        <v>184</v>
      </c>
      <c r="D75" s="10" t="s">
        <v>184</v>
      </c>
      <c r="E75" s="10" t="s">
        <v>184</v>
      </c>
      <c r="F75" s="10" t="s">
        <v>184</v>
      </c>
      <c r="G75" s="10" t="s">
        <v>527</v>
      </c>
      <c r="H75" s="10" t="s">
        <v>528</v>
      </c>
      <c r="I75" s="2" t="s">
        <v>529</v>
      </c>
      <c r="J75" s="10" t="s">
        <v>530</v>
      </c>
      <c r="K75" s="10" t="s">
        <v>432</v>
      </c>
      <c r="L75" s="10" t="s">
        <v>531</v>
      </c>
      <c r="M75" s="10" t="s">
        <v>689</v>
      </c>
      <c r="N75" s="10">
        <v>691</v>
      </c>
      <c r="O75" s="11" t="s">
        <v>434</v>
      </c>
      <c r="P75" s="10" t="s">
        <v>184</v>
      </c>
      <c r="Q75" s="11"/>
    </row>
    <row r="76" spans="1:17" ht="57.75" customHeight="1">
      <c r="A76" s="10">
        <v>70</v>
      </c>
      <c r="B76" s="10" t="s">
        <v>609</v>
      </c>
      <c r="C76" s="10" t="s">
        <v>184</v>
      </c>
      <c r="D76" s="10" t="s">
        <v>184</v>
      </c>
      <c r="E76" s="10" t="s">
        <v>184</v>
      </c>
      <c r="F76" s="10" t="s">
        <v>184</v>
      </c>
      <c r="G76" s="10" t="s">
        <v>533</v>
      </c>
      <c r="H76" s="10" t="s">
        <v>534</v>
      </c>
      <c r="I76" s="2" t="s">
        <v>535</v>
      </c>
      <c r="J76" s="10" t="s">
        <v>536</v>
      </c>
      <c r="K76" s="10" t="s">
        <v>432</v>
      </c>
      <c r="L76" s="10" t="s">
        <v>690</v>
      </c>
      <c r="M76" s="10" t="s">
        <v>691</v>
      </c>
      <c r="N76" s="10">
        <v>749</v>
      </c>
      <c r="O76" s="11" t="s">
        <v>434</v>
      </c>
      <c r="P76" s="10" t="s">
        <v>184</v>
      </c>
      <c r="Q76" s="11"/>
    </row>
    <row r="77" spans="1:17" ht="45" customHeight="1">
      <c r="A77" s="10">
        <v>71</v>
      </c>
      <c r="B77" s="10" t="s">
        <v>609</v>
      </c>
      <c r="C77" s="10" t="s">
        <v>184</v>
      </c>
      <c r="D77" s="10" t="s">
        <v>184</v>
      </c>
      <c r="E77" s="10" t="s">
        <v>184</v>
      </c>
      <c r="F77" s="10" t="s">
        <v>184</v>
      </c>
      <c r="G77" s="10" t="s">
        <v>692</v>
      </c>
      <c r="H77" s="10" t="s">
        <v>552</v>
      </c>
      <c r="I77" s="2" t="s">
        <v>553</v>
      </c>
      <c r="J77" s="10" t="s">
        <v>553</v>
      </c>
      <c r="K77" s="10" t="s">
        <v>432</v>
      </c>
      <c r="L77" s="10" t="s">
        <v>554</v>
      </c>
      <c r="M77" s="10" t="s">
        <v>693</v>
      </c>
      <c r="N77" s="10">
        <v>8920</v>
      </c>
      <c r="O77" s="11" t="s">
        <v>434</v>
      </c>
      <c r="P77" s="10" t="s">
        <v>184</v>
      </c>
      <c r="Q77" s="11"/>
    </row>
    <row r="78" spans="1:17" ht="45" customHeight="1">
      <c r="A78" s="10">
        <v>72</v>
      </c>
      <c r="B78" s="10" t="s">
        <v>609</v>
      </c>
      <c r="C78" s="10" t="s">
        <v>184</v>
      </c>
      <c r="D78" s="10" t="s">
        <v>184</v>
      </c>
      <c r="E78" s="10" t="s">
        <v>184</v>
      </c>
      <c r="F78" s="10" t="s">
        <v>184</v>
      </c>
      <c r="G78" s="10" t="s">
        <v>694</v>
      </c>
      <c r="H78" s="10" t="s">
        <v>680</v>
      </c>
      <c r="I78" s="2" t="s">
        <v>681</v>
      </c>
      <c r="J78" s="10" t="s">
        <v>681</v>
      </c>
      <c r="K78" s="10" t="s">
        <v>432</v>
      </c>
      <c r="L78" s="10" t="s">
        <v>695</v>
      </c>
      <c r="M78" s="10" t="s">
        <v>683</v>
      </c>
      <c r="N78" s="10">
        <v>0</v>
      </c>
      <c r="O78" s="11" t="s">
        <v>434</v>
      </c>
      <c r="P78" s="10" t="s">
        <v>184</v>
      </c>
      <c r="Q78" s="11"/>
    </row>
    <row r="80" spans="1:17">
      <c r="B80" s="28" t="s">
        <v>696</v>
      </c>
      <c r="C80" s="28"/>
      <c r="D80" s="28"/>
      <c r="E80" s="28"/>
      <c r="F80" s="28"/>
      <c r="G80" s="28"/>
      <c r="H80" s="28"/>
      <c r="I80" s="28"/>
      <c r="J80" s="28"/>
      <c r="K80" s="28"/>
      <c r="L80" s="28"/>
      <c r="M80" s="28"/>
    </row>
  </sheetData>
  <mergeCells count="6">
    <mergeCell ref="A1:Q1"/>
    <mergeCell ref="A2:Q2"/>
    <mergeCell ref="A3:Q3"/>
    <mergeCell ref="A4:Q4"/>
    <mergeCell ref="B80:M80"/>
    <mergeCell ref="A5:Q5"/>
  </mergeCells>
  <dataValidations count="2">
    <dataValidation type="list" allowBlank="1" sqref="O7:O78" xr:uid="{00000000-0002-0000-0300-000000000000}">
      <formula1>"Use survey wording,Keep today’s report wording,Use document wording,Other / not sure — see comment"</formula1>
    </dataValidation>
    <dataValidation type="list" allowBlank="1" sqref="P7:P78" xr:uid="{00000000-0002-0000-0300-000001000000}">
      <formula1>"Use document wording,Keep today’s report wording,Use my wording in Comment,Not sure — see comment"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2A3C"/>
  </sheetPr>
  <dimension ref="A1:F72"/>
  <sheetViews>
    <sheetView workbookViewId="0">
      <pane ySplit="6" topLeftCell="B67" activePane="bottomLeft" state="frozen"/>
      <selection pane="bottomLeft" activeCell="D71" sqref="D71"/>
    </sheetView>
  </sheetViews>
  <sheetFormatPr defaultColWidth="8.7109375" defaultRowHeight="15"/>
  <cols>
    <col min="1" max="1" width="24" customWidth="1"/>
    <col min="2" max="2" width="44" customWidth="1"/>
    <col min="3" max="3" width="50" customWidth="1"/>
    <col min="4" max="4" width="34" customWidth="1"/>
    <col min="5" max="5" width="50" customWidth="1"/>
    <col min="6" max="6" width="28" customWidth="1"/>
  </cols>
  <sheetData>
    <row r="1" spans="1:6" ht="24" customHeight="1">
      <c r="A1" s="27" t="s">
        <v>697</v>
      </c>
      <c r="B1" s="27"/>
      <c r="C1" s="27"/>
      <c r="D1" s="27"/>
      <c r="E1" s="27"/>
      <c r="F1" s="27"/>
    </row>
    <row r="2" spans="1:6" ht="31.5" customHeight="1">
      <c r="A2" s="16" t="s">
        <v>698</v>
      </c>
      <c r="B2" s="16"/>
      <c r="C2" s="16"/>
      <c r="D2" s="16"/>
      <c r="E2" s="16"/>
      <c r="F2" s="16"/>
    </row>
    <row r="3" spans="1:6" ht="18" customHeight="1">
      <c r="A3" s="21" t="s">
        <v>699</v>
      </c>
      <c r="B3" s="21"/>
      <c r="C3" s="21"/>
      <c r="D3" s="21"/>
      <c r="E3" s="21"/>
      <c r="F3" s="21"/>
    </row>
    <row r="4" spans="1:6" ht="18" customHeight="1">
      <c r="A4" s="16" t="s">
        <v>700</v>
      </c>
      <c r="B4" s="16"/>
      <c r="C4" s="16"/>
      <c r="D4" s="16"/>
      <c r="E4" s="16"/>
      <c r="F4" s="16"/>
    </row>
    <row r="5" spans="1:6" ht="33.950000000000003" customHeight="1">
      <c r="A5" s="17" t="s">
        <v>701</v>
      </c>
      <c r="B5" s="18" t="s">
        <v>701</v>
      </c>
      <c r="C5" s="18" t="s">
        <v>701</v>
      </c>
      <c r="D5" s="18" t="s">
        <v>701</v>
      </c>
      <c r="E5" s="18" t="s">
        <v>701</v>
      </c>
      <c r="F5" s="19" t="s">
        <v>701</v>
      </c>
    </row>
    <row r="6" spans="1:6" ht="31.5" customHeight="1">
      <c r="A6" s="7" t="s">
        <v>40</v>
      </c>
      <c r="B6" s="7" t="s">
        <v>41</v>
      </c>
      <c r="C6" s="7" t="s">
        <v>702</v>
      </c>
      <c r="D6" s="7" t="s">
        <v>703</v>
      </c>
      <c r="E6" s="7" t="s">
        <v>704</v>
      </c>
      <c r="F6" s="7" t="s">
        <v>48</v>
      </c>
    </row>
    <row r="7" spans="1:6" ht="18" customHeight="1">
      <c r="A7" s="22" t="s">
        <v>705</v>
      </c>
      <c r="B7" s="22"/>
      <c r="C7" s="22"/>
      <c r="D7" s="22"/>
      <c r="E7" s="22"/>
      <c r="F7" s="22"/>
    </row>
    <row r="8" spans="1:6" ht="16.5" customHeight="1">
      <c r="A8" s="2" t="s">
        <v>706</v>
      </c>
      <c r="B8" s="10" t="s">
        <v>707</v>
      </c>
      <c r="C8" s="10" t="s">
        <v>708</v>
      </c>
      <c r="D8" s="10" t="s">
        <v>184</v>
      </c>
      <c r="E8" s="11" t="s">
        <v>709</v>
      </c>
      <c r="F8" s="11"/>
    </row>
    <row r="9" spans="1:6" ht="30" customHeight="1">
      <c r="A9" s="2" t="s">
        <v>710</v>
      </c>
      <c r="B9" s="10" t="s">
        <v>711</v>
      </c>
      <c r="C9" s="10" t="s">
        <v>712</v>
      </c>
      <c r="D9" s="10" t="s">
        <v>184</v>
      </c>
      <c r="E9" s="11" t="s">
        <v>713</v>
      </c>
      <c r="F9" s="11"/>
    </row>
    <row r="10" spans="1:6" ht="30" customHeight="1">
      <c r="A10" s="2" t="s">
        <v>714</v>
      </c>
      <c r="B10" s="10" t="s">
        <v>715</v>
      </c>
      <c r="C10" s="10" t="s">
        <v>716</v>
      </c>
      <c r="D10" s="10" t="s">
        <v>184</v>
      </c>
      <c r="E10" s="11" t="s">
        <v>717</v>
      </c>
      <c r="F10" s="11"/>
    </row>
    <row r="11" spans="1:6" ht="30" customHeight="1">
      <c r="A11" s="2" t="s">
        <v>718</v>
      </c>
      <c r="B11" s="10" t="s">
        <v>719</v>
      </c>
      <c r="C11" s="10" t="s">
        <v>720</v>
      </c>
      <c r="D11" s="10" t="s">
        <v>721</v>
      </c>
      <c r="E11" s="11" t="s">
        <v>722</v>
      </c>
      <c r="F11" s="11"/>
    </row>
    <row r="12" spans="1:6" ht="16.5" customHeight="1">
      <c r="A12" s="2" t="s">
        <v>723</v>
      </c>
      <c r="B12" s="10" t="s">
        <v>724</v>
      </c>
      <c r="C12" s="10" t="s">
        <v>725</v>
      </c>
      <c r="D12" s="10" t="s">
        <v>184</v>
      </c>
      <c r="E12" s="11" t="s">
        <v>726</v>
      </c>
      <c r="F12" s="11"/>
    </row>
    <row r="13" spans="1:6" ht="30" customHeight="1">
      <c r="A13" s="2" t="s">
        <v>727</v>
      </c>
      <c r="B13" s="10" t="s">
        <v>728</v>
      </c>
      <c r="C13" s="10" t="s">
        <v>729</v>
      </c>
      <c r="D13" s="10" t="s">
        <v>721</v>
      </c>
      <c r="E13" s="11" t="s">
        <v>730</v>
      </c>
      <c r="F13" s="11"/>
    </row>
    <row r="14" spans="1:6" ht="16.5" customHeight="1">
      <c r="A14" s="2" t="s">
        <v>731</v>
      </c>
      <c r="B14" s="10" t="s">
        <v>732</v>
      </c>
      <c r="C14" s="10" t="s">
        <v>733</v>
      </c>
      <c r="D14" s="10" t="s">
        <v>184</v>
      </c>
      <c r="E14" s="11" t="s">
        <v>734</v>
      </c>
      <c r="F14" s="11"/>
    </row>
    <row r="15" spans="1:6" ht="16.5" customHeight="1">
      <c r="A15" s="2" t="s">
        <v>735</v>
      </c>
      <c r="B15" s="10" t="s">
        <v>736</v>
      </c>
      <c r="C15" s="10" t="s">
        <v>737</v>
      </c>
      <c r="D15" s="10" t="s">
        <v>738</v>
      </c>
      <c r="E15" s="11" t="s">
        <v>739</v>
      </c>
      <c r="F15" s="11"/>
    </row>
    <row r="16" spans="1:6" ht="30" customHeight="1">
      <c r="A16" s="2" t="s">
        <v>740</v>
      </c>
      <c r="B16" s="10" t="s">
        <v>741</v>
      </c>
      <c r="C16" s="10" t="s">
        <v>742</v>
      </c>
      <c r="D16" s="10" t="s">
        <v>184</v>
      </c>
      <c r="E16" s="11" t="s">
        <v>743</v>
      </c>
      <c r="F16" s="11"/>
    </row>
    <row r="17" spans="1:6" ht="55.5" customHeight="1">
      <c r="A17" s="2" t="s">
        <v>744</v>
      </c>
      <c r="B17" s="10" t="s">
        <v>745</v>
      </c>
      <c r="C17" s="10" t="s">
        <v>746</v>
      </c>
      <c r="D17" s="10" t="s">
        <v>747</v>
      </c>
      <c r="E17" s="11" t="s">
        <v>748</v>
      </c>
      <c r="F17" s="11"/>
    </row>
    <row r="18" spans="1:6" ht="30" customHeight="1">
      <c r="A18" s="2" t="s">
        <v>749</v>
      </c>
      <c r="B18" s="10" t="s">
        <v>750</v>
      </c>
      <c r="C18" s="10" t="s">
        <v>751</v>
      </c>
      <c r="D18" s="10" t="s">
        <v>752</v>
      </c>
      <c r="E18" s="11" t="s">
        <v>753</v>
      </c>
      <c r="F18" s="11"/>
    </row>
    <row r="19" spans="1:6" ht="30" customHeight="1">
      <c r="A19" s="2" t="s">
        <v>754</v>
      </c>
      <c r="B19" s="10" t="s">
        <v>755</v>
      </c>
      <c r="C19" s="10" t="s">
        <v>756</v>
      </c>
      <c r="D19" s="10" t="s">
        <v>752</v>
      </c>
      <c r="E19" s="11" t="s">
        <v>757</v>
      </c>
      <c r="F19" s="11"/>
    </row>
    <row r="20" spans="1:6" ht="30" customHeight="1">
      <c r="A20" s="2" t="s">
        <v>758</v>
      </c>
      <c r="B20" s="10" t="s">
        <v>759</v>
      </c>
      <c r="C20" s="10" t="s">
        <v>760</v>
      </c>
      <c r="D20" s="10" t="s">
        <v>761</v>
      </c>
      <c r="E20" s="11" t="s">
        <v>762</v>
      </c>
      <c r="F20" s="11"/>
    </row>
    <row r="21" spans="1:6" ht="30" customHeight="1">
      <c r="A21" s="2" t="s">
        <v>763</v>
      </c>
      <c r="B21" s="10" t="s">
        <v>764</v>
      </c>
      <c r="C21" s="10" t="s">
        <v>765</v>
      </c>
      <c r="D21" s="10" t="s">
        <v>184</v>
      </c>
      <c r="E21" s="11" t="s">
        <v>766</v>
      </c>
      <c r="F21" s="11"/>
    </row>
    <row r="22" spans="1:6" ht="42.75" customHeight="1">
      <c r="A22" s="2" t="s">
        <v>767</v>
      </c>
      <c r="B22" s="10" t="s">
        <v>768</v>
      </c>
      <c r="C22" s="10" t="s">
        <v>769</v>
      </c>
      <c r="D22" s="10" t="s">
        <v>770</v>
      </c>
      <c r="E22" s="11" t="s">
        <v>771</v>
      </c>
      <c r="F22" s="11"/>
    </row>
    <row r="23" spans="1:6" ht="42.75" customHeight="1">
      <c r="A23" s="2" t="s">
        <v>772</v>
      </c>
      <c r="B23" s="10" t="s">
        <v>773</v>
      </c>
      <c r="C23" s="10" t="s">
        <v>774</v>
      </c>
      <c r="D23" s="10" t="s">
        <v>775</v>
      </c>
      <c r="E23" s="11" t="s">
        <v>776</v>
      </c>
      <c r="F23" s="11"/>
    </row>
    <row r="24" spans="1:6" ht="30" customHeight="1">
      <c r="A24" s="2" t="s">
        <v>777</v>
      </c>
      <c r="B24" s="10" t="s">
        <v>778</v>
      </c>
      <c r="C24" s="10" t="s">
        <v>779</v>
      </c>
      <c r="D24" s="10" t="s">
        <v>184</v>
      </c>
      <c r="E24" s="11" t="s">
        <v>780</v>
      </c>
      <c r="F24" s="11"/>
    </row>
    <row r="25" spans="1:6" ht="69" customHeight="1">
      <c r="A25" s="2" t="s">
        <v>781</v>
      </c>
      <c r="B25" s="10" t="s">
        <v>782</v>
      </c>
      <c r="C25" s="10" t="s">
        <v>783</v>
      </c>
      <c r="D25" s="10" t="s">
        <v>784</v>
      </c>
      <c r="E25" s="11" t="s">
        <v>785</v>
      </c>
      <c r="F25" s="11"/>
    </row>
    <row r="26" spans="1:6" ht="30" customHeight="1">
      <c r="A26" s="2" t="s">
        <v>786</v>
      </c>
      <c r="B26" s="10" t="s">
        <v>787</v>
      </c>
      <c r="C26" s="10" t="s">
        <v>788</v>
      </c>
      <c r="D26" s="10" t="s">
        <v>789</v>
      </c>
      <c r="E26" s="11" t="s">
        <v>790</v>
      </c>
      <c r="F26" s="11"/>
    </row>
    <row r="27" spans="1:6" ht="69" customHeight="1">
      <c r="A27" s="2" t="s">
        <v>791</v>
      </c>
      <c r="B27" s="10" t="s">
        <v>792</v>
      </c>
      <c r="C27" s="10" t="s">
        <v>793</v>
      </c>
      <c r="D27" s="10" t="s">
        <v>184</v>
      </c>
      <c r="E27" s="11" t="s">
        <v>794</v>
      </c>
      <c r="F27" s="11"/>
    </row>
    <row r="28" spans="1:6" ht="30" customHeight="1">
      <c r="A28" s="2" t="s">
        <v>795</v>
      </c>
      <c r="B28" s="10" t="s">
        <v>796</v>
      </c>
      <c r="C28" s="10" t="s">
        <v>797</v>
      </c>
      <c r="D28" s="10" t="s">
        <v>184</v>
      </c>
      <c r="E28" s="11" t="s">
        <v>798</v>
      </c>
      <c r="F28" s="11"/>
    </row>
    <row r="29" spans="1:6" ht="18" customHeight="1">
      <c r="A29" s="22" t="s">
        <v>799</v>
      </c>
      <c r="B29" s="22"/>
      <c r="C29" s="22"/>
      <c r="D29" s="22"/>
      <c r="E29" s="22"/>
      <c r="F29" s="22"/>
    </row>
    <row r="30" spans="1:6" ht="42.75" customHeight="1">
      <c r="A30" s="2" t="s">
        <v>800</v>
      </c>
      <c r="B30" s="10" t="s">
        <v>801</v>
      </c>
      <c r="C30" s="10" t="s">
        <v>802</v>
      </c>
      <c r="D30" s="10" t="s">
        <v>184</v>
      </c>
      <c r="E30" s="11" t="s">
        <v>803</v>
      </c>
      <c r="F30" s="11"/>
    </row>
    <row r="31" spans="1:6" ht="42.75" customHeight="1">
      <c r="A31" s="2" t="s">
        <v>804</v>
      </c>
      <c r="B31" s="10" t="s">
        <v>805</v>
      </c>
      <c r="C31" s="10" t="s">
        <v>806</v>
      </c>
      <c r="D31" s="10" t="s">
        <v>807</v>
      </c>
      <c r="E31" s="11" t="s">
        <v>808</v>
      </c>
      <c r="F31" s="11"/>
    </row>
    <row r="32" spans="1:6" ht="42.75" customHeight="1">
      <c r="A32" s="2" t="s">
        <v>809</v>
      </c>
      <c r="B32" s="10" t="s">
        <v>810</v>
      </c>
      <c r="C32" s="10" t="s">
        <v>811</v>
      </c>
      <c r="D32" s="10" t="s">
        <v>184</v>
      </c>
      <c r="E32" s="11" t="s">
        <v>812</v>
      </c>
      <c r="F32" s="11"/>
    </row>
    <row r="33" spans="1:6" ht="30" customHeight="1">
      <c r="A33" s="2" t="s">
        <v>813</v>
      </c>
      <c r="B33" s="10" t="s">
        <v>814</v>
      </c>
      <c r="C33" s="10" t="s">
        <v>815</v>
      </c>
      <c r="D33" s="10" t="s">
        <v>184</v>
      </c>
      <c r="E33" s="11" t="s">
        <v>816</v>
      </c>
      <c r="F33" s="11"/>
    </row>
    <row r="34" spans="1:6" ht="42.75" customHeight="1">
      <c r="A34" s="2" t="s">
        <v>817</v>
      </c>
      <c r="B34" s="10" t="s">
        <v>818</v>
      </c>
      <c r="C34" s="10" t="s">
        <v>819</v>
      </c>
      <c r="D34" s="10" t="s">
        <v>820</v>
      </c>
      <c r="E34" s="11" t="s">
        <v>821</v>
      </c>
      <c r="F34" s="11"/>
    </row>
    <row r="35" spans="1:6" ht="16.5" customHeight="1">
      <c r="A35" s="2" t="s">
        <v>822</v>
      </c>
      <c r="B35" s="10" t="s">
        <v>818</v>
      </c>
      <c r="C35" s="10" t="s">
        <v>823</v>
      </c>
      <c r="D35" s="10" t="s">
        <v>184</v>
      </c>
      <c r="E35" s="11" t="s">
        <v>824</v>
      </c>
      <c r="F35" s="11"/>
    </row>
    <row r="36" spans="1:6" ht="30" customHeight="1">
      <c r="A36" s="2" t="s">
        <v>825</v>
      </c>
      <c r="B36" s="10" t="s">
        <v>826</v>
      </c>
      <c r="C36" s="10" t="s">
        <v>827</v>
      </c>
      <c r="D36" s="10" t="s">
        <v>184</v>
      </c>
      <c r="E36" s="11" t="s">
        <v>828</v>
      </c>
      <c r="F36" s="11"/>
    </row>
    <row r="37" spans="1:6" ht="42.75" customHeight="1">
      <c r="A37" s="2" t="s">
        <v>829</v>
      </c>
      <c r="B37" s="10" t="s">
        <v>830</v>
      </c>
      <c r="C37" s="10" t="s">
        <v>831</v>
      </c>
      <c r="D37" s="10" t="s">
        <v>832</v>
      </c>
      <c r="E37" s="11" t="s">
        <v>833</v>
      </c>
      <c r="F37" s="11"/>
    </row>
    <row r="38" spans="1:6" ht="18" customHeight="1">
      <c r="A38" s="22" t="s">
        <v>834</v>
      </c>
      <c r="B38" s="22"/>
      <c r="C38" s="22"/>
      <c r="D38" s="22"/>
      <c r="E38" s="22"/>
      <c r="F38" s="22"/>
    </row>
    <row r="39" spans="1:6" ht="42.75" customHeight="1">
      <c r="A39" s="2" t="s">
        <v>835</v>
      </c>
      <c r="B39" s="10" t="s">
        <v>836</v>
      </c>
      <c r="C39" s="10" t="s">
        <v>837</v>
      </c>
      <c r="D39" s="10" t="s">
        <v>184</v>
      </c>
      <c r="E39" s="11" t="s">
        <v>838</v>
      </c>
      <c r="F39" s="11"/>
    </row>
    <row r="40" spans="1:6" ht="30" customHeight="1">
      <c r="A40" s="2" t="s">
        <v>839</v>
      </c>
      <c r="B40" s="10" t="s">
        <v>840</v>
      </c>
      <c r="C40" s="10" t="s">
        <v>841</v>
      </c>
      <c r="D40" s="10" t="s">
        <v>184</v>
      </c>
      <c r="E40" s="11" t="s">
        <v>842</v>
      </c>
      <c r="F40" s="11"/>
    </row>
    <row r="41" spans="1:6" ht="18" customHeight="1">
      <c r="A41" s="22" t="s">
        <v>843</v>
      </c>
      <c r="B41" s="22"/>
      <c r="C41" s="22"/>
      <c r="D41" s="22"/>
      <c r="E41" s="22"/>
      <c r="F41" s="22"/>
    </row>
    <row r="42" spans="1:6" ht="69" customHeight="1">
      <c r="A42" s="2" t="s">
        <v>844</v>
      </c>
      <c r="B42" s="10" t="s">
        <v>845</v>
      </c>
      <c r="C42" s="10" t="s">
        <v>846</v>
      </c>
      <c r="D42" s="10" t="s">
        <v>847</v>
      </c>
      <c r="E42" s="11" t="s">
        <v>848</v>
      </c>
      <c r="F42" s="11"/>
    </row>
    <row r="43" spans="1:6" ht="69" customHeight="1">
      <c r="A43" s="2" t="s">
        <v>849</v>
      </c>
      <c r="B43" s="10" t="s">
        <v>850</v>
      </c>
      <c r="C43" s="10" t="s">
        <v>851</v>
      </c>
      <c r="D43" s="10" t="s">
        <v>852</v>
      </c>
      <c r="E43" s="11" t="s">
        <v>853</v>
      </c>
      <c r="F43" s="11"/>
    </row>
    <row r="44" spans="1:6" ht="69" customHeight="1">
      <c r="A44" s="2" t="s">
        <v>854</v>
      </c>
      <c r="B44" s="10" t="s">
        <v>855</v>
      </c>
      <c r="C44" s="10" t="s">
        <v>856</v>
      </c>
      <c r="D44" s="10" t="s">
        <v>852</v>
      </c>
      <c r="E44" s="11" t="s">
        <v>857</v>
      </c>
      <c r="F44" s="11"/>
    </row>
    <row r="45" spans="1:6" ht="30" customHeight="1">
      <c r="A45" s="2" t="s">
        <v>858</v>
      </c>
      <c r="B45" s="10" t="s">
        <v>859</v>
      </c>
      <c r="C45" s="10" t="s">
        <v>860</v>
      </c>
      <c r="D45" s="10" t="s">
        <v>861</v>
      </c>
      <c r="E45" s="11" t="s">
        <v>862</v>
      </c>
      <c r="F45" s="11"/>
    </row>
    <row r="46" spans="1:6" ht="55.5" customHeight="1">
      <c r="A46" s="2" t="s">
        <v>863</v>
      </c>
      <c r="B46" s="10" t="s">
        <v>864</v>
      </c>
      <c r="C46" s="10" t="s">
        <v>865</v>
      </c>
      <c r="D46" s="10" t="s">
        <v>184</v>
      </c>
      <c r="E46" s="11" t="s">
        <v>866</v>
      </c>
      <c r="F46" s="11"/>
    </row>
    <row r="47" spans="1:6" ht="42.75" customHeight="1">
      <c r="A47" s="2" t="s">
        <v>867</v>
      </c>
      <c r="B47" s="10" t="s">
        <v>868</v>
      </c>
      <c r="C47" s="10" t="s">
        <v>869</v>
      </c>
      <c r="D47" s="10" t="s">
        <v>870</v>
      </c>
      <c r="E47" s="11" t="s">
        <v>871</v>
      </c>
      <c r="F47" s="11"/>
    </row>
    <row r="48" spans="1:6" ht="30" customHeight="1">
      <c r="A48" s="2" t="s">
        <v>872</v>
      </c>
      <c r="B48" s="10" t="s">
        <v>873</v>
      </c>
      <c r="C48" s="10" t="s">
        <v>874</v>
      </c>
      <c r="D48" s="10" t="s">
        <v>184</v>
      </c>
      <c r="E48" s="11" t="s">
        <v>875</v>
      </c>
      <c r="F48" s="11"/>
    </row>
    <row r="49" spans="1:6" ht="42.75" customHeight="1">
      <c r="A49" s="2" t="s">
        <v>876</v>
      </c>
      <c r="B49" s="10" t="s">
        <v>877</v>
      </c>
      <c r="C49" s="10" t="s">
        <v>878</v>
      </c>
      <c r="D49" s="10" t="s">
        <v>879</v>
      </c>
      <c r="E49" s="11" t="s">
        <v>880</v>
      </c>
      <c r="F49" s="11"/>
    </row>
    <row r="50" spans="1:6" ht="55.5" customHeight="1">
      <c r="A50" s="2" t="s">
        <v>881</v>
      </c>
      <c r="B50" s="10" t="s">
        <v>882</v>
      </c>
      <c r="C50" s="10" t="s">
        <v>883</v>
      </c>
      <c r="D50" s="10" t="s">
        <v>884</v>
      </c>
      <c r="E50" s="11" t="s">
        <v>885</v>
      </c>
      <c r="F50" s="11"/>
    </row>
    <row r="51" spans="1:6" ht="18" customHeight="1">
      <c r="A51" s="22" t="s">
        <v>886</v>
      </c>
      <c r="B51" s="22"/>
      <c r="C51" s="22"/>
      <c r="D51" s="22"/>
      <c r="E51" s="22"/>
      <c r="F51" s="22"/>
    </row>
    <row r="52" spans="1:6" ht="16.5" customHeight="1">
      <c r="A52" s="2" t="s">
        <v>887</v>
      </c>
      <c r="B52" s="10" t="s">
        <v>888</v>
      </c>
      <c r="C52" s="10" t="s">
        <v>889</v>
      </c>
      <c r="D52" s="10" t="s">
        <v>184</v>
      </c>
      <c r="E52" s="11" t="s">
        <v>890</v>
      </c>
      <c r="F52" s="11"/>
    </row>
    <row r="53" spans="1:6" ht="16.5" customHeight="1">
      <c r="A53" s="2" t="s">
        <v>891</v>
      </c>
      <c r="B53" s="10" t="s">
        <v>888</v>
      </c>
      <c r="C53" s="10" t="s">
        <v>892</v>
      </c>
      <c r="D53" s="10" t="s">
        <v>184</v>
      </c>
      <c r="E53" s="11" t="s">
        <v>893</v>
      </c>
      <c r="F53" s="11"/>
    </row>
    <row r="54" spans="1:6" ht="16.5" customHeight="1">
      <c r="A54" s="2" t="s">
        <v>894</v>
      </c>
      <c r="B54" s="10" t="s">
        <v>888</v>
      </c>
      <c r="C54" s="10" t="s">
        <v>895</v>
      </c>
      <c r="D54" s="10" t="s">
        <v>184</v>
      </c>
      <c r="E54" s="11" t="s">
        <v>896</v>
      </c>
      <c r="F54" s="11"/>
    </row>
    <row r="55" spans="1:6" ht="30" customHeight="1">
      <c r="A55" s="2" t="s">
        <v>897</v>
      </c>
      <c r="B55" s="10" t="s">
        <v>898</v>
      </c>
      <c r="C55" s="10" t="s">
        <v>899</v>
      </c>
      <c r="D55" s="10" t="s">
        <v>184</v>
      </c>
      <c r="E55" s="11" t="s">
        <v>900</v>
      </c>
      <c r="F55" s="11"/>
    </row>
    <row r="56" spans="1:6" ht="30" customHeight="1">
      <c r="A56" s="2" t="s">
        <v>901</v>
      </c>
      <c r="B56" s="10" t="s">
        <v>902</v>
      </c>
      <c r="C56" s="10" t="s">
        <v>903</v>
      </c>
      <c r="D56" s="10" t="s">
        <v>184</v>
      </c>
      <c r="E56" s="11" t="s">
        <v>904</v>
      </c>
      <c r="F56" s="11"/>
    </row>
    <row r="57" spans="1:6" ht="30" customHeight="1">
      <c r="A57" s="2" t="s">
        <v>905</v>
      </c>
      <c r="B57" s="10" t="s">
        <v>906</v>
      </c>
      <c r="C57" s="10" t="s">
        <v>907</v>
      </c>
      <c r="D57" s="10" t="s">
        <v>184</v>
      </c>
      <c r="E57" s="11" t="s">
        <v>908</v>
      </c>
      <c r="F57" s="11"/>
    </row>
    <row r="58" spans="1:6" ht="16.5" customHeight="1">
      <c r="A58" s="2" t="s">
        <v>909</v>
      </c>
      <c r="B58" s="10" t="s">
        <v>888</v>
      </c>
      <c r="C58" s="10" t="s">
        <v>910</v>
      </c>
      <c r="D58" s="10" t="s">
        <v>184</v>
      </c>
      <c r="E58" s="11" t="s">
        <v>911</v>
      </c>
      <c r="F58" s="11"/>
    </row>
    <row r="59" spans="1:6" ht="30" customHeight="1">
      <c r="A59" s="2" t="s">
        <v>912</v>
      </c>
      <c r="B59" s="10" t="s">
        <v>913</v>
      </c>
      <c r="C59" s="10" t="s">
        <v>914</v>
      </c>
      <c r="D59" s="10" t="s">
        <v>184</v>
      </c>
      <c r="E59" s="11" t="s">
        <v>915</v>
      </c>
      <c r="F59" s="11"/>
    </row>
    <row r="60" spans="1:6" ht="18" customHeight="1">
      <c r="A60" s="22" t="s">
        <v>916</v>
      </c>
      <c r="B60" s="22"/>
      <c r="C60" s="22"/>
      <c r="D60" s="22"/>
      <c r="E60" s="22"/>
      <c r="F60" s="22"/>
    </row>
    <row r="61" spans="1:6" ht="55.5" customHeight="1">
      <c r="A61" s="2" t="s">
        <v>917</v>
      </c>
      <c r="B61" s="10" t="s">
        <v>918</v>
      </c>
      <c r="C61" s="10" t="s">
        <v>919</v>
      </c>
      <c r="D61" s="10" t="s">
        <v>184</v>
      </c>
      <c r="E61" s="11" t="s">
        <v>920</v>
      </c>
      <c r="F61" s="11"/>
    </row>
    <row r="62" spans="1:6" ht="55.5" customHeight="1">
      <c r="A62" s="2" t="s">
        <v>921</v>
      </c>
      <c r="B62" s="10" t="s">
        <v>922</v>
      </c>
      <c r="C62" s="10" t="s">
        <v>923</v>
      </c>
      <c r="D62" s="10" t="s">
        <v>184</v>
      </c>
      <c r="E62" s="11" t="s">
        <v>924</v>
      </c>
      <c r="F62" s="11"/>
    </row>
    <row r="63" spans="1:6" ht="18" customHeight="1">
      <c r="A63" s="22" t="s">
        <v>925</v>
      </c>
      <c r="B63" s="22"/>
      <c r="C63" s="22"/>
      <c r="D63" s="22"/>
      <c r="E63" s="22"/>
      <c r="F63" s="22"/>
    </row>
    <row r="64" spans="1:6" ht="42.75" customHeight="1">
      <c r="A64" s="2" t="s">
        <v>926</v>
      </c>
      <c r="B64" s="10" t="s">
        <v>927</v>
      </c>
      <c r="C64" s="10" t="s">
        <v>928</v>
      </c>
      <c r="D64" s="10" t="s">
        <v>929</v>
      </c>
      <c r="E64" s="11" t="s">
        <v>930</v>
      </c>
      <c r="F64" s="11"/>
    </row>
    <row r="65" spans="1:6" ht="30" customHeight="1">
      <c r="A65" s="2" t="s">
        <v>931</v>
      </c>
      <c r="B65" s="10" t="s">
        <v>932</v>
      </c>
      <c r="C65" s="10" t="s">
        <v>933</v>
      </c>
      <c r="D65" s="10" t="s">
        <v>184</v>
      </c>
      <c r="E65" s="11" t="s">
        <v>933</v>
      </c>
      <c r="F65" s="11"/>
    </row>
    <row r="66" spans="1:6" ht="16.5" customHeight="1">
      <c r="A66" s="2" t="s">
        <v>934</v>
      </c>
      <c r="B66" s="10" t="s">
        <v>935</v>
      </c>
      <c r="C66" s="10" t="s">
        <v>936</v>
      </c>
      <c r="D66" s="10" t="s">
        <v>184</v>
      </c>
      <c r="E66" s="11" t="s">
        <v>937</v>
      </c>
      <c r="F66" s="11"/>
    </row>
    <row r="67" spans="1:6" ht="18" customHeight="1">
      <c r="A67" s="22" t="s">
        <v>938</v>
      </c>
      <c r="B67" s="22"/>
      <c r="C67" s="22"/>
      <c r="D67" s="22"/>
      <c r="E67" s="22"/>
      <c r="F67" s="22"/>
    </row>
    <row r="68" spans="1:6" ht="30" customHeight="1">
      <c r="A68" s="2" t="s">
        <v>939</v>
      </c>
      <c r="B68" s="10" t="s">
        <v>940</v>
      </c>
      <c r="C68" s="10" t="s">
        <v>941</v>
      </c>
      <c r="D68" s="10" t="s">
        <v>184</v>
      </c>
      <c r="E68" s="11" t="s">
        <v>942</v>
      </c>
      <c r="F68" s="11"/>
    </row>
    <row r="69" spans="1:6" ht="30" customHeight="1">
      <c r="A69" s="2" t="s">
        <v>943</v>
      </c>
      <c r="B69" s="10" t="s">
        <v>944</v>
      </c>
      <c r="C69" s="10" t="s">
        <v>945</v>
      </c>
      <c r="D69" s="10" t="s">
        <v>184</v>
      </c>
      <c r="E69" s="11" t="s">
        <v>946</v>
      </c>
      <c r="F69" s="11"/>
    </row>
    <row r="70" spans="1:6" ht="30" customHeight="1">
      <c r="A70" s="2" t="s">
        <v>947</v>
      </c>
      <c r="B70" s="10" t="s">
        <v>948</v>
      </c>
      <c r="C70" s="10" t="s">
        <v>949</v>
      </c>
      <c r="D70" s="10" t="s">
        <v>184</v>
      </c>
      <c r="E70" s="11" t="s">
        <v>950</v>
      </c>
      <c r="F70" s="11"/>
    </row>
    <row r="72" spans="1:6">
      <c r="A72" s="5" t="s">
        <v>166</v>
      </c>
      <c r="B72" s="1" t="s">
        <v>951</v>
      </c>
      <c r="C72" s="12" t="s">
        <v>952</v>
      </c>
      <c r="E72" s="12" t="s">
        <v>953</v>
      </c>
    </row>
  </sheetData>
  <mergeCells count="13">
    <mergeCell ref="A63:F63"/>
    <mergeCell ref="A67:F67"/>
    <mergeCell ref="A5:F5"/>
    <mergeCell ref="A29:F29"/>
    <mergeCell ref="A38:F38"/>
    <mergeCell ref="A41:F41"/>
    <mergeCell ref="A51:F51"/>
    <mergeCell ref="A60:F60"/>
    <mergeCell ref="A1:F1"/>
    <mergeCell ref="A2:F2"/>
    <mergeCell ref="A3:F3"/>
    <mergeCell ref="A4:F4"/>
    <mergeCell ref="A7:F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BD06"/>
  </sheetPr>
  <dimension ref="A1:G49"/>
  <sheetViews>
    <sheetView workbookViewId="0">
      <pane ySplit="6" topLeftCell="D30" activePane="bottomLeft" state="frozen"/>
      <selection pane="bottomLeft" activeCell="G32" sqref="G32"/>
    </sheetView>
  </sheetViews>
  <sheetFormatPr defaultColWidth="8.7109375" defaultRowHeight="15"/>
  <cols>
    <col min="1" max="1" width="5" customWidth="1"/>
    <col min="2" max="2" width="22" customWidth="1"/>
    <col min="3" max="3" width="62" customWidth="1"/>
    <col min="4" max="4" width="56" customWidth="1"/>
    <col min="5" max="5" width="14" customWidth="1"/>
    <col min="6" max="6" width="20" customWidth="1"/>
    <col min="7" max="7" width="50" customWidth="1"/>
  </cols>
  <sheetData>
    <row r="1" spans="1:7" ht="24" customHeight="1">
      <c r="A1" s="27" t="s">
        <v>954</v>
      </c>
      <c r="B1" s="27"/>
      <c r="C1" s="27"/>
      <c r="D1" s="27"/>
      <c r="E1" s="27"/>
      <c r="F1" s="27"/>
      <c r="G1" s="27"/>
    </row>
    <row r="2" spans="1:7" ht="31.5" customHeight="1">
      <c r="A2" s="16" t="s">
        <v>955</v>
      </c>
      <c r="B2" s="16"/>
      <c r="C2" s="16"/>
      <c r="D2" s="16"/>
      <c r="E2" s="16"/>
      <c r="F2" s="16"/>
      <c r="G2" s="16"/>
    </row>
    <row r="3" spans="1:7" ht="31.5" customHeight="1">
      <c r="A3" s="21" t="s">
        <v>956</v>
      </c>
      <c r="B3" s="21"/>
      <c r="C3" s="21"/>
      <c r="D3" s="21"/>
      <c r="E3" s="21"/>
      <c r="F3" s="21"/>
      <c r="G3" s="21"/>
    </row>
    <row r="4" spans="1:7" ht="18" customHeight="1">
      <c r="A4" s="16" t="s">
        <v>957</v>
      </c>
      <c r="B4" s="16"/>
      <c r="C4" s="16"/>
      <c r="D4" s="16"/>
      <c r="E4" s="16"/>
      <c r="F4" s="16"/>
      <c r="G4" s="16"/>
    </row>
    <row r="5" spans="1:7" ht="33.950000000000003" customHeight="1">
      <c r="A5" s="17" t="s">
        <v>958</v>
      </c>
      <c r="B5" s="18" t="s">
        <v>958</v>
      </c>
      <c r="C5" s="18" t="s">
        <v>958</v>
      </c>
      <c r="D5" s="18" t="s">
        <v>958</v>
      </c>
      <c r="E5" s="18" t="s">
        <v>958</v>
      </c>
      <c r="F5" s="18" t="s">
        <v>958</v>
      </c>
      <c r="G5" s="19" t="s">
        <v>958</v>
      </c>
    </row>
    <row r="6" spans="1:7" ht="31.5" customHeight="1">
      <c r="A6" s="7" t="s">
        <v>17</v>
      </c>
      <c r="B6" s="7" t="s">
        <v>959</v>
      </c>
      <c r="C6" s="7" t="s">
        <v>960</v>
      </c>
      <c r="D6" s="7" t="s">
        <v>961</v>
      </c>
      <c r="E6" s="7" t="s">
        <v>962</v>
      </c>
      <c r="F6" s="7" t="s">
        <v>963</v>
      </c>
      <c r="G6" s="7" t="s">
        <v>964</v>
      </c>
    </row>
    <row r="7" spans="1:7" ht="42.75" customHeight="1">
      <c r="A7" s="2">
        <v>1</v>
      </c>
      <c r="B7" s="10" t="s">
        <v>965</v>
      </c>
      <c r="C7" s="10" t="s">
        <v>966</v>
      </c>
      <c r="D7" s="10" t="s">
        <v>967</v>
      </c>
      <c r="E7" s="10" t="s">
        <v>968</v>
      </c>
      <c r="F7" s="11" t="s">
        <v>969</v>
      </c>
      <c r="G7" s="11"/>
    </row>
    <row r="8" spans="1:7" ht="55.5" customHeight="1">
      <c r="A8" s="2">
        <v>2</v>
      </c>
      <c r="B8" s="10" t="s">
        <v>965</v>
      </c>
      <c r="C8" s="6" t="s">
        <v>970</v>
      </c>
      <c r="D8" s="10" t="s">
        <v>971</v>
      </c>
      <c r="E8" s="10" t="s">
        <v>972</v>
      </c>
      <c r="F8" s="11" t="s">
        <v>969</v>
      </c>
      <c r="G8" s="11" t="s">
        <v>973</v>
      </c>
    </row>
    <row r="9" spans="1:7" ht="30" customHeight="1">
      <c r="A9" s="2">
        <v>3</v>
      </c>
      <c r="B9" s="10" t="s">
        <v>965</v>
      </c>
      <c r="C9" s="10" t="s">
        <v>974</v>
      </c>
      <c r="D9" s="10" t="s">
        <v>975</v>
      </c>
      <c r="E9" s="10" t="s">
        <v>976</v>
      </c>
      <c r="F9" s="11" t="s">
        <v>969</v>
      </c>
      <c r="G9" s="11"/>
    </row>
    <row r="10" spans="1:7" ht="30" customHeight="1">
      <c r="A10" s="2">
        <v>4</v>
      </c>
      <c r="B10" s="10" t="s">
        <v>965</v>
      </c>
      <c r="C10" s="10" t="s">
        <v>977</v>
      </c>
      <c r="D10" s="10" t="s">
        <v>978</v>
      </c>
      <c r="E10" s="10" t="s">
        <v>979</v>
      </c>
      <c r="F10" s="11" t="s">
        <v>969</v>
      </c>
      <c r="G10" s="11"/>
    </row>
    <row r="11" spans="1:7" ht="30" customHeight="1">
      <c r="A11" s="2">
        <v>5</v>
      </c>
      <c r="B11" s="10" t="s">
        <v>965</v>
      </c>
      <c r="C11" s="10" t="s">
        <v>980</v>
      </c>
      <c r="D11" s="10" t="s">
        <v>981</v>
      </c>
      <c r="E11" s="10" t="s">
        <v>982</v>
      </c>
      <c r="F11" s="11" t="s">
        <v>969</v>
      </c>
      <c r="G11" s="11"/>
    </row>
    <row r="12" spans="1:7" ht="42.75" customHeight="1">
      <c r="A12" s="2">
        <v>6</v>
      </c>
      <c r="B12" s="10" t="s">
        <v>965</v>
      </c>
      <c r="C12" s="10" t="s">
        <v>983</v>
      </c>
      <c r="D12" s="10" t="s">
        <v>984</v>
      </c>
      <c r="E12" s="10" t="s">
        <v>985</v>
      </c>
      <c r="F12" s="11" t="s">
        <v>969</v>
      </c>
      <c r="G12" s="11"/>
    </row>
    <row r="13" spans="1:7" ht="30" customHeight="1">
      <c r="A13" s="2">
        <v>7</v>
      </c>
      <c r="B13" s="10" t="s">
        <v>965</v>
      </c>
      <c r="C13" s="10" t="s">
        <v>986</v>
      </c>
      <c r="D13" s="10" t="s">
        <v>987</v>
      </c>
      <c r="E13" s="10" t="s">
        <v>988</v>
      </c>
      <c r="F13" s="11" t="s">
        <v>969</v>
      </c>
      <c r="G13" s="11"/>
    </row>
    <row r="14" spans="1:7" ht="42.75" customHeight="1">
      <c r="A14" s="2">
        <v>8</v>
      </c>
      <c r="B14" s="10" t="s">
        <v>965</v>
      </c>
      <c r="C14" s="10" t="s">
        <v>989</v>
      </c>
      <c r="D14" s="10" t="s">
        <v>990</v>
      </c>
      <c r="E14" s="10" t="s">
        <v>991</v>
      </c>
      <c r="F14" s="11" t="s">
        <v>969</v>
      </c>
      <c r="G14" s="11"/>
    </row>
    <row r="15" spans="1:7" ht="42.75" customHeight="1">
      <c r="A15" s="2">
        <v>9</v>
      </c>
      <c r="B15" s="10" t="s">
        <v>965</v>
      </c>
      <c r="C15" s="10" t="s">
        <v>992</v>
      </c>
      <c r="D15" s="10" t="s">
        <v>993</v>
      </c>
      <c r="E15" s="10" t="s">
        <v>994</v>
      </c>
      <c r="F15" s="11" t="s">
        <v>969</v>
      </c>
      <c r="G15" s="11"/>
    </row>
    <row r="16" spans="1:7" ht="30" customHeight="1">
      <c r="A16" s="2">
        <v>10</v>
      </c>
      <c r="B16" s="10" t="s">
        <v>995</v>
      </c>
      <c r="C16" s="10" t="s">
        <v>996</v>
      </c>
      <c r="D16" s="10" t="s">
        <v>997</v>
      </c>
      <c r="E16" s="10" t="s">
        <v>998</v>
      </c>
      <c r="F16" s="11" t="s">
        <v>969</v>
      </c>
      <c r="G16" s="11"/>
    </row>
    <row r="17" spans="1:7" ht="55.5" customHeight="1">
      <c r="A17" s="2">
        <v>11</v>
      </c>
      <c r="B17" s="10" t="s">
        <v>995</v>
      </c>
      <c r="C17" s="10" t="s">
        <v>999</v>
      </c>
      <c r="D17" s="10" t="s">
        <v>1000</v>
      </c>
      <c r="E17" s="10" t="s">
        <v>1001</v>
      </c>
      <c r="F17" s="11" t="s">
        <v>969</v>
      </c>
      <c r="G17" s="11"/>
    </row>
    <row r="18" spans="1:7" ht="42.75" customHeight="1">
      <c r="A18" s="2">
        <v>12</v>
      </c>
      <c r="B18" s="10" t="s">
        <v>1002</v>
      </c>
      <c r="C18" s="10" t="s">
        <v>1003</v>
      </c>
      <c r="D18" s="10" t="s">
        <v>1004</v>
      </c>
      <c r="E18" s="10" t="s">
        <v>1005</v>
      </c>
      <c r="F18" s="11" t="s">
        <v>969</v>
      </c>
      <c r="G18" s="11"/>
    </row>
    <row r="19" spans="1:7" ht="42.75" customHeight="1">
      <c r="A19" s="2">
        <v>13</v>
      </c>
      <c r="B19" s="10" t="s">
        <v>1002</v>
      </c>
      <c r="C19" s="10" t="s">
        <v>1006</v>
      </c>
      <c r="D19" s="10" t="s">
        <v>1007</v>
      </c>
      <c r="E19" s="10" t="s">
        <v>1008</v>
      </c>
      <c r="F19" s="11" t="s">
        <v>969</v>
      </c>
      <c r="G19" s="11"/>
    </row>
    <row r="20" spans="1:7" ht="55.5" customHeight="1">
      <c r="A20" s="2">
        <v>14</v>
      </c>
      <c r="B20" s="10" t="s">
        <v>1002</v>
      </c>
      <c r="C20" s="10" t="s">
        <v>1009</v>
      </c>
      <c r="D20" s="10" t="s">
        <v>1010</v>
      </c>
      <c r="E20" s="10" t="s">
        <v>1011</v>
      </c>
      <c r="F20" s="11" t="s">
        <v>969</v>
      </c>
      <c r="G20" s="11"/>
    </row>
    <row r="21" spans="1:7" ht="81.75" customHeight="1">
      <c r="A21" s="2">
        <v>15</v>
      </c>
      <c r="B21" s="10" t="s">
        <v>1002</v>
      </c>
      <c r="C21" s="6" t="s">
        <v>1012</v>
      </c>
      <c r="D21" s="10" t="s">
        <v>1013</v>
      </c>
      <c r="E21" s="10" t="s">
        <v>1014</v>
      </c>
      <c r="F21" s="11" t="s">
        <v>1015</v>
      </c>
      <c r="G21" s="11" t="s">
        <v>1016</v>
      </c>
    </row>
    <row r="22" spans="1:7" ht="55.5" customHeight="1">
      <c r="A22" s="2">
        <v>16</v>
      </c>
      <c r="B22" s="10" t="s">
        <v>1002</v>
      </c>
      <c r="C22" s="6" t="s">
        <v>1017</v>
      </c>
      <c r="D22" s="10" t="s">
        <v>1018</v>
      </c>
      <c r="E22" s="10" t="s">
        <v>1019</v>
      </c>
      <c r="F22" s="11" t="s">
        <v>1015</v>
      </c>
      <c r="G22" s="11" t="s">
        <v>1020</v>
      </c>
    </row>
    <row r="23" spans="1:7" ht="55.5" customHeight="1">
      <c r="A23" s="2">
        <v>17</v>
      </c>
      <c r="B23" s="10" t="s">
        <v>1002</v>
      </c>
      <c r="C23" s="6" t="s">
        <v>1021</v>
      </c>
      <c r="D23" s="10" t="s">
        <v>1022</v>
      </c>
      <c r="E23" s="10" t="s">
        <v>1023</v>
      </c>
      <c r="F23" s="11" t="s">
        <v>969</v>
      </c>
      <c r="G23" s="11" t="s">
        <v>1024</v>
      </c>
    </row>
    <row r="24" spans="1:7" ht="30" customHeight="1">
      <c r="A24" s="2">
        <v>18</v>
      </c>
      <c r="B24" s="10" t="s">
        <v>1002</v>
      </c>
      <c r="C24" s="10" t="s">
        <v>1025</v>
      </c>
      <c r="D24" s="10" t="s">
        <v>1026</v>
      </c>
      <c r="E24" s="10" t="s">
        <v>1005</v>
      </c>
      <c r="F24" s="11" t="s">
        <v>969</v>
      </c>
      <c r="G24" s="11"/>
    </row>
    <row r="25" spans="1:7" ht="42.75" customHeight="1">
      <c r="A25" s="2">
        <v>19</v>
      </c>
      <c r="B25" s="10" t="s">
        <v>1027</v>
      </c>
      <c r="C25" s="10" t="s">
        <v>1028</v>
      </c>
      <c r="D25" s="10" t="s">
        <v>1029</v>
      </c>
      <c r="E25" s="10" t="s">
        <v>1030</v>
      </c>
      <c r="F25" s="11" t="s">
        <v>969</v>
      </c>
      <c r="G25" s="11"/>
    </row>
    <row r="26" spans="1:7" ht="42.75" customHeight="1">
      <c r="A26" s="2">
        <v>20</v>
      </c>
      <c r="B26" s="10" t="s">
        <v>1027</v>
      </c>
      <c r="C26" s="10" t="s">
        <v>1031</v>
      </c>
      <c r="D26" s="10" t="s">
        <v>1032</v>
      </c>
      <c r="E26" s="10" t="s">
        <v>1030</v>
      </c>
      <c r="F26" s="11" t="s">
        <v>969</v>
      </c>
      <c r="G26" s="11"/>
    </row>
    <row r="27" spans="1:7" ht="42.75" customHeight="1">
      <c r="A27" s="2">
        <v>21</v>
      </c>
      <c r="B27" s="10" t="s">
        <v>1027</v>
      </c>
      <c r="C27" s="10" t="s">
        <v>1033</v>
      </c>
      <c r="D27" s="10" t="s">
        <v>1034</v>
      </c>
      <c r="E27" s="10" t="s">
        <v>1035</v>
      </c>
      <c r="F27" s="11" t="s">
        <v>969</v>
      </c>
      <c r="G27" s="11"/>
    </row>
    <row r="28" spans="1:7" ht="30" customHeight="1">
      <c r="A28" s="2">
        <v>22</v>
      </c>
      <c r="B28" s="10" t="s">
        <v>1027</v>
      </c>
      <c r="C28" s="10" t="s">
        <v>1036</v>
      </c>
      <c r="D28" s="10" t="s">
        <v>1037</v>
      </c>
      <c r="E28" s="10" t="s">
        <v>1038</v>
      </c>
      <c r="F28" s="11" t="s">
        <v>969</v>
      </c>
      <c r="G28" s="11"/>
    </row>
    <row r="29" spans="1:7" ht="30" customHeight="1">
      <c r="A29" s="2">
        <v>23</v>
      </c>
      <c r="B29" s="10" t="s">
        <v>1027</v>
      </c>
      <c r="C29" s="10" t="s">
        <v>1039</v>
      </c>
      <c r="D29" s="10" t="s">
        <v>1040</v>
      </c>
      <c r="E29" s="10" t="s">
        <v>1041</v>
      </c>
      <c r="F29" s="11" t="s">
        <v>969</v>
      </c>
      <c r="G29" s="11"/>
    </row>
    <row r="30" spans="1:7" ht="42.75" customHeight="1">
      <c r="A30" s="2">
        <v>24</v>
      </c>
      <c r="B30" s="10" t="s">
        <v>1027</v>
      </c>
      <c r="C30" s="10" t="s">
        <v>1042</v>
      </c>
      <c r="D30" s="10" t="s">
        <v>1043</v>
      </c>
      <c r="E30" s="10" t="s">
        <v>1044</v>
      </c>
      <c r="F30" s="11" t="s">
        <v>969</v>
      </c>
      <c r="G30" s="11"/>
    </row>
    <row r="31" spans="1:7" ht="55.5" customHeight="1">
      <c r="A31" s="2">
        <v>25</v>
      </c>
      <c r="B31" s="10" t="s">
        <v>1027</v>
      </c>
      <c r="C31" s="10" t="s">
        <v>1045</v>
      </c>
      <c r="D31" s="10" t="s">
        <v>1046</v>
      </c>
      <c r="E31" s="10" t="s">
        <v>1047</v>
      </c>
      <c r="F31" s="11" t="s">
        <v>969</v>
      </c>
      <c r="G31" s="11"/>
    </row>
    <row r="32" spans="1:7" ht="69" customHeight="1">
      <c r="A32" s="2">
        <v>26</v>
      </c>
      <c r="B32" s="10" t="s">
        <v>1027</v>
      </c>
      <c r="C32" s="6" t="s">
        <v>1048</v>
      </c>
      <c r="D32" s="10" t="s">
        <v>1049</v>
      </c>
      <c r="E32" s="10" t="s">
        <v>1050</v>
      </c>
      <c r="F32" s="11" t="s">
        <v>969</v>
      </c>
      <c r="G32" s="11"/>
    </row>
    <row r="33" spans="1:7" ht="30" customHeight="1">
      <c r="A33" s="2">
        <v>27</v>
      </c>
      <c r="B33" s="10" t="s">
        <v>1027</v>
      </c>
      <c r="C33" s="10" t="s">
        <v>1051</v>
      </c>
      <c r="D33" s="10" t="s">
        <v>1052</v>
      </c>
      <c r="E33" s="10" t="s">
        <v>1053</v>
      </c>
      <c r="F33" s="11" t="s">
        <v>969</v>
      </c>
      <c r="G33" s="11"/>
    </row>
    <row r="34" spans="1:7" ht="42.75" customHeight="1">
      <c r="A34" s="2">
        <v>28</v>
      </c>
      <c r="B34" s="10" t="s">
        <v>1027</v>
      </c>
      <c r="C34" s="10" t="s">
        <v>1054</v>
      </c>
      <c r="D34" s="10" t="s">
        <v>1055</v>
      </c>
      <c r="E34" s="10" t="s">
        <v>1056</v>
      </c>
      <c r="F34" s="11" t="s">
        <v>969</v>
      </c>
      <c r="G34" s="11"/>
    </row>
    <row r="35" spans="1:7" ht="30" customHeight="1">
      <c r="A35" s="2">
        <v>29</v>
      </c>
      <c r="B35" s="10" t="s">
        <v>1027</v>
      </c>
      <c r="C35" s="10" t="s">
        <v>1057</v>
      </c>
      <c r="D35" s="10" t="s">
        <v>1058</v>
      </c>
      <c r="E35" s="10" t="s">
        <v>1059</v>
      </c>
      <c r="F35" s="11" t="s">
        <v>969</v>
      </c>
      <c r="G35" s="11"/>
    </row>
    <row r="36" spans="1:7" ht="55.5" customHeight="1">
      <c r="A36" s="2">
        <v>30</v>
      </c>
      <c r="B36" s="10" t="s">
        <v>1060</v>
      </c>
      <c r="C36" s="10" t="s">
        <v>1061</v>
      </c>
      <c r="D36" s="10" t="s">
        <v>1062</v>
      </c>
      <c r="E36" s="10" t="s">
        <v>1063</v>
      </c>
      <c r="F36" s="11" t="s">
        <v>969</v>
      </c>
      <c r="G36" s="11"/>
    </row>
    <row r="37" spans="1:7" ht="30" customHeight="1">
      <c r="A37" s="2">
        <v>31</v>
      </c>
      <c r="B37" s="10" t="s">
        <v>1060</v>
      </c>
      <c r="C37" s="10" t="s">
        <v>1064</v>
      </c>
      <c r="D37" s="10" t="s">
        <v>1065</v>
      </c>
      <c r="E37" s="10" t="s">
        <v>1066</v>
      </c>
      <c r="F37" s="11" t="s">
        <v>969</v>
      </c>
      <c r="G37" s="11"/>
    </row>
    <row r="38" spans="1:7" ht="30" customHeight="1">
      <c r="A38" s="2">
        <v>32</v>
      </c>
      <c r="B38" s="10" t="s">
        <v>1060</v>
      </c>
      <c r="C38" s="10" t="s">
        <v>1067</v>
      </c>
      <c r="D38" s="10" t="s">
        <v>1068</v>
      </c>
      <c r="E38" s="10" t="s">
        <v>1069</v>
      </c>
      <c r="F38" s="11" t="s">
        <v>969</v>
      </c>
      <c r="G38" s="11"/>
    </row>
    <row r="39" spans="1:7" ht="55.5" customHeight="1">
      <c r="A39" s="2">
        <v>33</v>
      </c>
      <c r="B39" s="10" t="s">
        <v>1060</v>
      </c>
      <c r="C39" s="10" t="s">
        <v>1070</v>
      </c>
      <c r="D39" s="10" t="s">
        <v>1071</v>
      </c>
      <c r="E39" s="10" t="s">
        <v>1072</v>
      </c>
      <c r="F39" s="11" t="s">
        <v>969</v>
      </c>
      <c r="G39" s="11"/>
    </row>
    <row r="40" spans="1:7" ht="30" customHeight="1">
      <c r="A40" s="2">
        <v>34</v>
      </c>
      <c r="B40" s="10" t="s">
        <v>1060</v>
      </c>
      <c r="C40" s="10" t="s">
        <v>1073</v>
      </c>
      <c r="D40" s="10" t="s">
        <v>1074</v>
      </c>
      <c r="E40" s="10" t="s">
        <v>1075</v>
      </c>
      <c r="F40" s="11" t="s">
        <v>969</v>
      </c>
      <c r="G40" s="11"/>
    </row>
    <row r="41" spans="1:7" ht="42.75" customHeight="1">
      <c r="A41" s="2">
        <v>35</v>
      </c>
      <c r="B41" s="10" t="s">
        <v>1076</v>
      </c>
      <c r="C41" s="10" t="s">
        <v>1077</v>
      </c>
      <c r="D41" s="10" t="s">
        <v>1078</v>
      </c>
      <c r="E41" s="10" t="s">
        <v>1079</v>
      </c>
      <c r="F41" s="11" t="s">
        <v>969</v>
      </c>
      <c r="G41" s="11"/>
    </row>
    <row r="42" spans="1:7" ht="30" customHeight="1">
      <c r="A42" s="2">
        <v>36</v>
      </c>
      <c r="B42" s="10" t="s">
        <v>1076</v>
      </c>
      <c r="C42" s="10" t="s">
        <v>1080</v>
      </c>
      <c r="D42" s="10" t="s">
        <v>1037</v>
      </c>
      <c r="E42" s="10" t="s">
        <v>1081</v>
      </c>
      <c r="F42" s="11" t="s">
        <v>969</v>
      </c>
      <c r="G42" s="11"/>
    </row>
    <row r="43" spans="1:7" ht="16.5" customHeight="1">
      <c r="A43" s="2">
        <v>37</v>
      </c>
      <c r="B43" s="10" t="s">
        <v>1076</v>
      </c>
      <c r="C43" s="10" t="s">
        <v>1082</v>
      </c>
      <c r="D43" s="10" t="s">
        <v>1083</v>
      </c>
      <c r="E43" s="10" t="s">
        <v>1084</v>
      </c>
      <c r="F43" s="11" t="s">
        <v>969</v>
      </c>
      <c r="G43" s="11"/>
    </row>
    <row r="44" spans="1:7" ht="30" customHeight="1">
      <c r="A44" s="2">
        <v>38</v>
      </c>
      <c r="B44" s="10" t="s">
        <v>1076</v>
      </c>
      <c r="C44" s="10" t="s">
        <v>1085</v>
      </c>
      <c r="D44" s="10" t="s">
        <v>1086</v>
      </c>
      <c r="E44" s="10" t="s">
        <v>1087</v>
      </c>
      <c r="F44" s="11" t="s">
        <v>969</v>
      </c>
      <c r="G44" s="11"/>
    </row>
    <row r="45" spans="1:7" ht="42.75" customHeight="1">
      <c r="A45" s="2">
        <v>39</v>
      </c>
      <c r="B45" s="10" t="s">
        <v>1088</v>
      </c>
      <c r="C45" s="10" t="s">
        <v>1089</v>
      </c>
      <c r="D45" s="10" t="s">
        <v>1090</v>
      </c>
      <c r="E45" s="10" t="s">
        <v>1091</v>
      </c>
      <c r="F45" s="11" t="s">
        <v>969</v>
      </c>
      <c r="G45" s="11"/>
    </row>
    <row r="46" spans="1:7" ht="55.5" customHeight="1">
      <c r="A46" s="2">
        <v>40</v>
      </c>
      <c r="B46" s="10" t="s">
        <v>1088</v>
      </c>
      <c r="C46" s="10" t="s">
        <v>1092</v>
      </c>
      <c r="D46" s="10" t="s">
        <v>1093</v>
      </c>
      <c r="E46" s="10" t="s">
        <v>1094</v>
      </c>
      <c r="F46" s="11" t="s">
        <v>969</v>
      </c>
      <c r="G46" s="11"/>
    </row>
    <row r="47" spans="1:7" ht="42.75" customHeight="1">
      <c r="A47" s="2">
        <v>41</v>
      </c>
      <c r="B47" s="10" t="s">
        <v>1095</v>
      </c>
      <c r="C47" s="10" t="s">
        <v>1096</v>
      </c>
      <c r="D47" s="10" t="s">
        <v>1097</v>
      </c>
      <c r="E47" s="10" t="s">
        <v>1098</v>
      </c>
      <c r="F47" s="11" t="s">
        <v>969</v>
      </c>
      <c r="G47" s="11"/>
    </row>
    <row r="48" spans="1:7" ht="55.5" customHeight="1">
      <c r="A48" s="2">
        <v>42</v>
      </c>
      <c r="B48" s="10" t="s">
        <v>1095</v>
      </c>
      <c r="C48" s="10" t="s">
        <v>1099</v>
      </c>
      <c r="D48" s="10" t="s">
        <v>1100</v>
      </c>
      <c r="E48" s="10" t="s">
        <v>1101</v>
      </c>
      <c r="F48" s="11" t="s">
        <v>969</v>
      </c>
      <c r="G48" s="11"/>
    </row>
    <row r="49" spans="1:7" ht="42.75" customHeight="1">
      <c r="A49" s="2">
        <v>43</v>
      </c>
      <c r="B49" s="10" t="s">
        <v>1095</v>
      </c>
      <c r="C49" s="10" t="s">
        <v>1102</v>
      </c>
      <c r="D49" s="10" t="s">
        <v>1103</v>
      </c>
      <c r="E49" s="10" t="s">
        <v>1104</v>
      </c>
      <c r="F49" s="11" t="s">
        <v>969</v>
      </c>
      <c r="G49" s="11"/>
    </row>
  </sheetData>
  <mergeCells count="5">
    <mergeCell ref="A1:G1"/>
    <mergeCell ref="A2:G2"/>
    <mergeCell ref="A3:G3"/>
    <mergeCell ref="A4:G4"/>
    <mergeCell ref="A5:G5"/>
  </mergeCells>
  <dataValidations count="1">
    <dataValidation type="list" allowBlank="1" errorTitle="Choose from the list" error="Please choose one of the options in the list." sqref="F7:F49" xr:uid="{00000000-0002-0000-0500-000000000000}">
      <formula1>"Correct,Wrong,Not sure"</formula1>
      <formula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BD06"/>
  </sheetPr>
  <dimension ref="A1:H64"/>
  <sheetViews>
    <sheetView workbookViewId="0">
      <pane ySplit="6" topLeftCell="C17" activePane="bottomLeft" state="frozen"/>
      <selection pane="bottomLeft" activeCell="H19" sqref="H19"/>
    </sheetView>
  </sheetViews>
  <sheetFormatPr defaultColWidth="8.7109375" defaultRowHeight="15"/>
  <cols>
    <col min="1" max="1" width="5" customWidth="1"/>
    <col min="2" max="2" width="26" customWidth="1"/>
    <col min="3" max="4" width="52" customWidth="1"/>
    <col min="5" max="5" width="30" customWidth="1"/>
    <col min="6" max="6" width="18" customWidth="1"/>
    <col min="7" max="7" width="52" customWidth="1"/>
    <col min="8" max="8" width="30" customWidth="1"/>
  </cols>
  <sheetData>
    <row r="1" spans="1:8" ht="24" customHeight="1">
      <c r="A1" s="27" t="s">
        <v>1105</v>
      </c>
      <c r="B1" s="27"/>
      <c r="C1" s="27"/>
      <c r="D1" s="27"/>
      <c r="E1" s="27"/>
      <c r="F1" s="27"/>
      <c r="G1" s="27"/>
      <c r="H1" s="27"/>
    </row>
    <row r="2" spans="1:8" ht="31.5" customHeight="1">
      <c r="A2" s="16" t="s">
        <v>1106</v>
      </c>
      <c r="B2" s="16"/>
      <c r="C2" s="16"/>
      <c r="D2" s="16"/>
      <c r="E2" s="16"/>
      <c r="F2" s="16"/>
      <c r="G2" s="16"/>
      <c r="H2" s="16"/>
    </row>
    <row r="3" spans="1:8" ht="31.5" customHeight="1">
      <c r="A3" s="21" t="s">
        <v>1107</v>
      </c>
      <c r="B3" s="21"/>
      <c r="C3" s="21"/>
      <c r="D3" s="21"/>
      <c r="E3" s="21"/>
      <c r="F3" s="21"/>
      <c r="G3" s="21"/>
      <c r="H3" s="21"/>
    </row>
    <row r="4" spans="1:8" ht="18" customHeight="1">
      <c r="A4" s="16" t="s">
        <v>1108</v>
      </c>
      <c r="B4" s="16"/>
      <c r="C4" s="16"/>
      <c r="D4" s="16"/>
      <c r="E4" s="16"/>
      <c r="F4" s="16"/>
      <c r="G4" s="16"/>
      <c r="H4" s="16"/>
    </row>
    <row r="5" spans="1:8" ht="33.950000000000003" customHeight="1">
      <c r="A5" s="17" t="s">
        <v>1109</v>
      </c>
      <c r="B5" s="18" t="s">
        <v>1109</v>
      </c>
      <c r="C5" s="18" t="s">
        <v>1109</v>
      </c>
      <c r="D5" s="18" t="s">
        <v>1109</v>
      </c>
      <c r="E5" s="18" t="s">
        <v>1109</v>
      </c>
      <c r="F5" s="18" t="s">
        <v>1109</v>
      </c>
      <c r="G5" s="18" t="s">
        <v>1109</v>
      </c>
      <c r="H5" s="19" t="s">
        <v>1109</v>
      </c>
    </row>
    <row r="6" spans="1:8" ht="31.5" customHeight="1">
      <c r="A6" s="7" t="s">
        <v>17</v>
      </c>
      <c r="B6" s="7" t="s">
        <v>1110</v>
      </c>
      <c r="C6" s="7" t="s">
        <v>1111</v>
      </c>
      <c r="D6" s="7" t="s">
        <v>1112</v>
      </c>
      <c r="E6" s="7" t="s">
        <v>1113</v>
      </c>
      <c r="F6" s="7" t="s">
        <v>963</v>
      </c>
      <c r="G6" s="7" t="s">
        <v>1114</v>
      </c>
      <c r="H6" s="7" t="s">
        <v>1115</v>
      </c>
    </row>
    <row r="7" spans="1:8" ht="42.75" customHeight="1">
      <c r="A7" s="2">
        <v>1</v>
      </c>
      <c r="B7" s="10" t="s">
        <v>1116</v>
      </c>
      <c r="C7" s="10" t="s">
        <v>1117</v>
      </c>
      <c r="D7" s="10" t="s">
        <v>967</v>
      </c>
      <c r="E7" s="10" t="s">
        <v>1118</v>
      </c>
      <c r="F7" s="11" t="s">
        <v>969</v>
      </c>
      <c r="G7" s="11"/>
      <c r="H7" s="11"/>
    </row>
    <row r="8" spans="1:8" ht="42.75" customHeight="1">
      <c r="A8" s="2">
        <v>2</v>
      </c>
      <c r="B8" s="10" t="s">
        <v>1116</v>
      </c>
      <c r="C8" s="10" t="s">
        <v>1119</v>
      </c>
      <c r="D8" s="10" t="s">
        <v>1120</v>
      </c>
      <c r="E8" s="10" t="s">
        <v>1118</v>
      </c>
      <c r="F8" s="11" t="s">
        <v>969</v>
      </c>
      <c r="G8" s="11"/>
      <c r="H8" s="11"/>
    </row>
    <row r="9" spans="1:8" ht="30" customHeight="1">
      <c r="A9" s="2">
        <v>3</v>
      </c>
      <c r="B9" s="10" t="s">
        <v>1121</v>
      </c>
      <c r="C9" s="10" t="s">
        <v>1122</v>
      </c>
      <c r="D9" s="10" t="s">
        <v>975</v>
      </c>
      <c r="E9" s="10" t="s">
        <v>1123</v>
      </c>
      <c r="F9" s="11" t="s">
        <v>969</v>
      </c>
      <c r="G9" s="11"/>
      <c r="H9" s="11"/>
    </row>
    <row r="10" spans="1:8" ht="30" customHeight="1">
      <c r="A10" s="2">
        <v>4</v>
      </c>
      <c r="B10" s="10" t="s">
        <v>1116</v>
      </c>
      <c r="C10" s="10" t="s">
        <v>1124</v>
      </c>
      <c r="D10" s="10" t="s">
        <v>978</v>
      </c>
      <c r="E10" s="10" t="s">
        <v>1125</v>
      </c>
      <c r="F10" s="11" t="s">
        <v>969</v>
      </c>
      <c r="G10" s="11"/>
      <c r="H10" s="11"/>
    </row>
    <row r="11" spans="1:8" ht="42.75" customHeight="1">
      <c r="A11" s="2">
        <v>5</v>
      </c>
      <c r="B11" s="10" t="s">
        <v>1116</v>
      </c>
      <c r="C11" s="10" t="s">
        <v>1126</v>
      </c>
      <c r="D11" s="10" t="s">
        <v>1127</v>
      </c>
      <c r="E11" s="10" t="s">
        <v>1125</v>
      </c>
      <c r="F11" s="11" t="s">
        <v>969</v>
      </c>
      <c r="G11" s="11"/>
      <c r="H11" s="11"/>
    </row>
    <row r="12" spans="1:8" ht="55.5" customHeight="1">
      <c r="A12" s="2">
        <v>6</v>
      </c>
      <c r="B12" s="10" t="s">
        <v>1116</v>
      </c>
      <c r="C12" s="10" t="s">
        <v>1128</v>
      </c>
      <c r="D12" s="10" t="s">
        <v>1129</v>
      </c>
      <c r="E12" s="10" t="s">
        <v>1130</v>
      </c>
      <c r="F12" s="11" t="s">
        <v>969</v>
      </c>
      <c r="G12" s="11"/>
      <c r="H12" s="11"/>
    </row>
    <row r="13" spans="1:8" ht="55.5" customHeight="1">
      <c r="A13" s="2">
        <v>7</v>
      </c>
      <c r="B13" s="10" t="s">
        <v>1131</v>
      </c>
      <c r="C13" s="10" t="s">
        <v>1132</v>
      </c>
      <c r="D13" s="10" t="s">
        <v>1133</v>
      </c>
      <c r="E13" s="10" t="s">
        <v>1134</v>
      </c>
      <c r="F13" s="11" t="s">
        <v>969</v>
      </c>
      <c r="G13" s="11"/>
      <c r="H13" s="11"/>
    </row>
    <row r="14" spans="1:8" ht="55.5" customHeight="1">
      <c r="A14" s="2">
        <v>8</v>
      </c>
      <c r="B14" s="10" t="s">
        <v>1116</v>
      </c>
      <c r="C14" s="10" t="s">
        <v>1135</v>
      </c>
      <c r="D14" s="10" t="s">
        <v>1136</v>
      </c>
      <c r="E14" s="10" t="s">
        <v>1137</v>
      </c>
      <c r="F14" s="11" t="s">
        <v>969</v>
      </c>
      <c r="G14" s="11"/>
      <c r="H14" s="11"/>
    </row>
    <row r="15" spans="1:8" ht="55.5" customHeight="1">
      <c r="A15" s="2">
        <v>9</v>
      </c>
      <c r="B15" s="10" t="s">
        <v>1116</v>
      </c>
      <c r="C15" s="10" t="s">
        <v>1138</v>
      </c>
      <c r="D15" s="10" t="s">
        <v>1139</v>
      </c>
      <c r="E15" s="10" t="s">
        <v>1140</v>
      </c>
      <c r="F15" s="11" t="s">
        <v>969</v>
      </c>
      <c r="G15" s="11"/>
      <c r="H15" s="11"/>
    </row>
    <row r="16" spans="1:8" ht="30" customHeight="1">
      <c r="A16" s="2">
        <v>10</v>
      </c>
      <c r="B16" s="10" t="s">
        <v>1116</v>
      </c>
      <c r="C16" s="10" t="s">
        <v>1141</v>
      </c>
      <c r="D16" s="10" t="s">
        <v>1142</v>
      </c>
      <c r="E16" s="10" t="s">
        <v>1143</v>
      </c>
      <c r="F16" s="11" t="s">
        <v>969</v>
      </c>
      <c r="G16" s="11"/>
      <c r="H16" s="11"/>
    </row>
    <row r="17" spans="1:8" ht="81.75" customHeight="1">
      <c r="A17" s="2">
        <v>11</v>
      </c>
      <c r="B17" s="10" t="s">
        <v>1116</v>
      </c>
      <c r="C17" s="10" t="s">
        <v>1144</v>
      </c>
      <c r="D17" s="10" t="s">
        <v>1145</v>
      </c>
      <c r="E17" s="10" t="s">
        <v>1146</v>
      </c>
      <c r="F17" s="11" t="s">
        <v>969</v>
      </c>
      <c r="G17" s="11"/>
      <c r="H17" s="11"/>
    </row>
    <row r="18" spans="1:8" ht="69" customHeight="1">
      <c r="A18" s="2">
        <v>12</v>
      </c>
      <c r="B18" s="10" t="s">
        <v>1121</v>
      </c>
      <c r="C18" s="10" t="s">
        <v>1147</v>
      </c>
      <c r="D18" s="10" t="s">
        <v>1148</v>
      </c>
      <c r="E18" s="6" t="s">
        <v>1149</v>
      </c>
      <c r="F18" s="11" t="s">
        <v>1150</v>
      </c>
      <c r="G18" s="11" t="s">
        <v>1151</v>
      </c>
      <c r="H18" s="11" t="s">
        <v>1152</v>
      </c>
    </row>
    <row r="19" spans="1:8" ht="42.75" customHeight="1">
      <c r="A19" s="2">
        <v>13</v>
      </c>
      <c r="B19" s="10" t="s">
        <v>1116</v>
      </c>
      <c r="C19" s="10" t="s">
        <v>1153</v>
      </c>
      <c r="D19" s="10" t="s">
        <v>1154</v>
      </c>
      <c r="E19" s="10" t="s">
        <v>1155</v>
      </c>
      <c r="F19" s="11" t="s">
        <v>969</v>
      </c>
      <c r="G19" s="11"/>
      <c r="H19" s="11"/>
    </row>
    <row r="20" spans="1:8" ht="55.5" customHeight="1">
      <c r="A20" s="2">
        <v>14</v>
      </c>
      <c r="B20" s="10" t="s">
        <v>1116</v>
      </c>
      <c r="C20" s="10" t="s">
        <v>1156</v>
      </c>
      <c r="D20" s="10" t="s">
        <v>1157</v>
      </c>
      <c r="E20" s="10" t="s">
        <v>1158</v>
      </c>
      <c r="F20" s="11" t="s">
        <v>969</v>
      </c>
      <c r="G20" s="11"/>
      <c r="H20" s="11"/>
    </row>
    <row r="21" spans="1:8" ht="42.75" customHeight="1">
      <c r="A21" s="2">
        <v>15</v>
      </c>
      <c r="B21" s="10" t="s">
        <v>1116</v>
      </c>
      <c r="C21" s="10" t="s">
        <v>1159</v>
      </c>
      <c r="D21" s="10" t="s">
        <v>1160</v>
      </c>
      <c r="E21" s="10" t="s">
        <v>1161</v>
      </c>
      <c r="F21" s="11" t="s">
        <v>969</v>
      </c>
      <c r="G21" s="11"/>
      <c r="H21" s="11"/>
    </row>
    <row r="22" spans="1:8" ht="42.75" customHeight="1">
      <c r="A22" s="2">
        <v>16</v>
      </c>
      <c r="B22" s="10" t="s">
        <v>1116</v>
      </c>
      <c r="C22" s="10" t="s">
        <v>1162</v>
      </c>
      <c r="D22" s="10" t="s">
        <v>1163</v>
      </c>
      <c r="E22" s="10" t="s">
        <v>1164</v>
      </c>
      <c r="F22" s="11" t="s">
        <v>969</v>
      </c>
      <c r="G22" s="11"/>
      <c r="H22" s="11"/>
    </row>
    <row r="23" spans="1:8" ht="69" customHeight="1">
      <c r="A23" s="2">
        <v>17</v>
      </c>
      <c r="B23" s="10" t="s">
        <v>1116</v>
      </c>
      <c r="C23" s="10" t="s">
        <v>1165</v>
      </c>
      <c r="D23" s="10" t="s">
        <v>1166</v>
      </c>
      <c r="E23" s="10" t="s">
        <v>1167</v>
      </c>
      <c r="F23" s="11" t="s">
        <v>969</v>
      </c>
      <c r="G23" s="11"/>
      <c r="H23" s="11"/>
    </row>
    <row r="24" spans="1:8" ht="69" customHeight="1">
      <c r="A24" s="2">
        <v>18</v>
      </c>
      <c r="B24" s="10" t="s">
        <v>1116</v>
      </c>
      <c r="C24" s="10" t="s">
        <v>1168</v>
      </c>
      <c r="D24" s="10" t="s">
        <v>1169</v>
      </c>
      <c r="E24" s="10" t="s">
        <v>1170</v>
      </c>
      <c r="F24" s="11" t="s">
        <v>969</v>
      </c>
      <c r="G24" s="11"/>
      <c r="H24" s="11"/>
    </row>
    <row r="25" spans="1:8" ht="69" customHeight="1">
      <c r="A25" s="2">
        <v>19</v>
      </c>
      <c r="B25" s="10" t="s">
        <v>1171</v>
      </c>
      <c r="C25" s="10" t="s">
        <v>1172</v>
      </c>
      <c r="D25" s="10" t="s">
        <v>1173</v>
      </c>
      <c r="E25" s="10" t="s">
        <v>1174</v>
      </c>
      <c r="F25" s="11" t="s">
        <v>969</v>
      </c>
      <c r="G25" s="11"/>
      <c r="H25" s="11"/>
    </row>
    <row r="26" spans="1:8" ht="42.75" customHeight="1">
      <c r="A26" s="2">
        <v>20</v>
      </c>
      <c r="B26" s="10" t="s">
        <v>1171</v>
      </c>
      <c r="C26" s="10" t="s">
        <v>1175</v>
      </c>
      <c r="D26" s="10" t="s">
        <v>1176</v>
      </c>
      <c r="E26" s="10" t="s">
        <v>1177</v>
      </c>
      <c r="F26" s="11" t="s">
        <v>969</v>
      </c>
      <c r="G26" s="11"/>
      <c r="H26" s="11"/>
    </row>
    <row r="27" spans="1:8" ht="42.75" customHeight="1">
      <c r="A27" s="2">
        <v>21</v>
      </c>
      <c r="B27" s="10" t="s">
        <v>1171</v>
      </c>
      <c r="C27" s="10" t="s">
        <v>1178</v>
      </c>
      <c r="D27" s="10" t="s">
        <v>1179</v>
      </c>
      <c r="E27" s="10" t="s">
        <v>1177</v>
      </c>
      <c r="F27" s="11" t="s">
        <v>969</v>
      </c>
      <c r="G27" s="11"/>
      <c r="H27" s="11"/>
    </row>
    <row r="28" spans="1:8" ht="42.75" customHeight="1">
      <c r="A28" s="2">
        <v>22</v>
      </c>
      <c r="B28" s="10" t="s">
        <v>1116</v>
      </c>
      <c r="C28" s="10" t="s">
        <v>1180</v>
      </c>
      <c r="D28" s="10" t="s">
        <v>1181</v>
      </c>
      <c r="E28" s="10" t="s">
        <v>1182</v>
      </c>
      <c r="F28" s="11" t="s">
        <v>969</v>
      </c>
      <c r="G28" s="11"/>
      <c r="H28" s="11"/>
    </row>
    <row r="29" spans="1:8" ht="69" customHeight="1">
      <c r="A29" s="2">
        <v>23</v>
      </c>
      <c r="B29" s="10" t="s">
        <v>1116</v>
      </c>
      <c r="C29" s="10" t="s">
        <v>1183</v>
      </c>
      <c r="D29" s="10" t="s">
        <v>1184</v>
      </c>
      <c r="E29" s="10" t="s">
        <v>1182</v>
      </c>
      <c r="F29" s="11" t="s">
        <v>969</v>
      </c>
      <c r="G29" s="11"/>
      <c r="H29" s="11"/>
    </row>
    <row r="30" spans="1:8" ht="42.75" customHeight="1">
      <c r="A30" s="2">
        <v>24</v>
      </c>
      <c r="B30" s="10" t="s">
        <v>1121</v>
      </c>
      <c r="C30" s="10" t="s">
        <v>1185</v>
      </c>
      <c r="D30" s="10" t="s">
        <v>1186</v>
      </c>
      <c r="E30" s="10" t="s">
        <v>1187</v>
      </c>
      <c r="F30" s="11" t="s">
        <v>969</v>
      </c>
      <c r="G30" s="11"/>
      <c r="H30" s="11"/>
    </row>
    <row r="31" spans="1:8" ht="42.75" customHeight="1">
      <c r="A31" s="2">
        <v>25</v>
      </c>
      <c r="B31" s="10" t="s">
        <v>1188</v>
      </c>
      <c r="C31" s="10" t="s">
        <v>1189</v>
      </c>
      <c r="D31" s="10" t="s">
        <v>1190</v>
      </c>
      <c r="E31" s="10" t="s">
        <v>1191</v>
      </c>
      <c r="F31" s="11" t="s">
        <v>969</v>
      </c>
      <c r="G31" s="11"/>
      <c r="H31" s="11"/>
    </row>
    <row r="32" spans="1:8" ht="55.5" customHeight="1">
      <c r="A32" s="2">
        <v>26</v>
      </c>
      <c r="B32" s="10" t="s">
        <v>1192</v>
      </c>
      <c r="C32" s="10" t="s">
        <v>1193</v>
      </c>
      <c r="D32" s="10" t="s">
        <v>1194</v>
      </c>
      <c r="E32" s="10" t="s">
        <v>1191</v>
      </c>
      <c r="F32" s="11" t="s">
        <v>969</v>
      </c>
      <c r="G32" s="11"/>
      <c r="H32" s="11"/>
    </row>
    <row r="33" spans="1:8" ht="42.75" customHeight="1">
      <c r="A33" s="2">
        <v>27</v>
      </c>
      <c r="B33" s="10" t="s">
        <v>1195</v>
      </c>
      <c r="C33" s="10" t="s">
        <v>1196</v>
      </c>
      <c r="D33" s="10" t="s">
        <v>1197</v>
      </c>
      <c r="E33" s="10" t="s">
        <v>1198</v>
      </c>
      <c r="F33" s="11" t="s">
        <v>969</v>
      </c>
      <c r="G33" s="11"/>
      <c r="H33" s="11"/>
    </row>
    <row r="34" spans="1:8" ht="69" customHeight="1">
      <c r="A34" s="2">
        <v>28</v>
      </c>
      <c r="B34" s="10" t="s">
        <v>1199</v>
      </c>
      <c r="C34" s="10" t="s">
        <v>1200</v>
      </c>
      <c r="D34" s="10" t="s">
        <v>1201</v>
      </c>
      <c r="E34" s="10" t="s">
        <v>1198</v>
      </c>
      <c r="F34" s="11" t="s">
        <v>969</v>
      </c>
      <c r="G34" s="11"/>
      <c r="H34" s="11"/>
    </row>
    <row r="35" spans="1:8" ht="55.5" customHeight="1">
      <c r="A35" s="2">
        <v>29</v>
      </c>
      <c r="B35" s="10" t="s">
        <v>1116</v>
      </c>
      <c r="C35" s="10" t="s">
        <v>1202</v>
      </c>
      <c r="D35" s="10" t="s">
        <v>1203</v>
      </c>
      <c r="E35" s="10" t="s">
        <v>1204</v>
      </c>
      <c r="F35" s="11" t="s">
        <v>969</v>
      </c>
      <c r="G35" s="11"/>
      <c r="H35" s="11"/>
    </row>
    <row r="36" spans="1:8" ht="55.5" customHeight="1">
      <c r="A36" s="2">
        <v>30</v>
      </c>
      <c r="B36" s="10" t="s">
        <v>1116</v>
      </c>
      <c r="C36" s="10" t="s">
        <v>1205</v>
      </c>
      <c r="D36" s="10" t="s">
        <v>1206</v>
      </c>
      <c r="E36" s="10" t="s">
        <v>1207</v>
      </c>
      <c r="F36" s="11" t="s">
        <v>969</v>
      </c>
      <c r="G36" s="11"/>
      <c r="H36" s="11"/>
    </row>
    <row r="37" spans="1:8" ht="42.75" customHeight="1">
      <c r="A37" s="2">
        <v>31</v>
      </c>
      <c r="B37" s="10" t="s">
        <v>1116</v>
      </c>
      <c r="C37" s="10" t="s">
        <v>1208</v>
      </c>
      <c r="D37" s="10" t="s">
        <v>1209</v>
      </c>
      <c r="E37" s="10" t="s">
        <v>1210</v>
      </c>
      <c r="F37" s="11" t="s">
        <v>969</v>
      </c>
      <c r="G37" s="11"/>
      <c r="H37" s="11"/>
    </row>
    <row r="38" spans="1:8" ht="42.75" customHeight="1">
      <c r="A38" s="2">
        <v>32</v>
      </c>
      <c r="B38" s="10" t="s">
        <v>1116</v>
      </c>
      <c r="C38" s="10" t="s">
        <v>1211</v>
      </c>
      <c r="D38" s="10" t="s">
        <v>1212</v>
      </c>
      <c r="E38" s="10" t="s">
        <v>1213</v>
      </c>
      <c r="F38" s="11" t="s">
        <v>969</v>
      </c>
      <c r="G38" s="11"/>
      <c r="H38" s="11"/>
    </row>
    <row r="39" spans="1:8" ht="42.75" customHeight="1">
      <c r="A39" s="2">
        <v>33</v>
      </c>
      <c r="B39" s="10" t="s">
        <v>1116</v>
      </c>
      <c r="C39" s="10" t="s">
        <v>1214</v>
      </c>
      <c r="D39" s="10" t="s">
        <v>1215</v>
      </c>
      <c r="E39" s="10" t="s">
        <v>1216</v>
      </c>
      <c r="F39" s="11" t="s">
        <v>969</v>
      </c>
      <c r="G39" s="11"/>
      <c r="H39" s="11"/>
    </row>
    <row r="40" spans="1:8" ht="69" customHeight="1">
      <c r="A40" s="2">
        <v>34</v>
      </c>
      <c r="B40" s="10" t="s">
        <v>1195</v>
      </c>
      <c r="C40" s="10" t="s">
        <v>1217</v>
      </c>
      <c r="D40" s="10" t="s">
        <v>1218</v>
      </c>
      <c r="E40" s="6" t="s">
        <v>1219</v>
      </c>
      <c r="F40" s="11" t="s">
        <v>1150</v>
      </c>
      <c r="G40" s="11" t="s">
        <v>1220</v>
      </c>
      <c r="H40" s="11" t="s">
        <v>1221</v>
      </c>
    </row>
    <row r="41" spans="1:8" ht="55.5" customHeight="1">
      <c r="A41" s="2">
        <v>35</v>
      </c>
      <c r="B41" s="10" t="s">
        <v>1116</v>
      </c>
      <c r="C41" s="10" t="s">
        <v>1222</v>
      </c>
      <c r="D41" s="10" t="s">
        <v>1223</v>
      </c>
      <c r="E41" s="10" t="s">
        <v>1224</v>
      </c>
      <c r="F41" s="11" t="s">
        <v>969</v>
      </c>
      <c r="G41" s="11"/>
      <c r="H41" s="11"/>
    </row>
    <row r="42" spans="1:8" ht="42.75" customHeight="1">
      <c r="A42" s="2">
        <v>36</v>
      </c>
      <c r="B42" s="10" t="s">
        <v>1116</v>
      </c>
      <c r="C42" s="10" t="s">
        <v>1225</v>
      </c>
      <c r="D42" s="10" t="s">
        <v>1226</v>
      </c>
      <c r="E42" s="10" t="s">
        <v>1224</v>
      </c>
      <c r="F42" s="11" t="s">
        <v>969</v>
      </c>
      <c r="G42" s="11"/>
      <c r="H42" s="11"/>
    </row>
    <row r="43" spans="1:8" ht="69" customHeight="1">
      <c r="A43" s="2">
        <v>37</v>
      </c>
      <c r="B43" s="10" t="s">
        <v>1227</v>
      </c>
      <c r="C43" s="10" t="s">
        <v>1228</v>
      </c>
      <c r="D43" s="10" t="s">
        <v>1229</v>
      </c>
      <c r="E43" s="10" t="s">
        <v>1230</v>
      </c>
      <c r="F43" s="11" t="s">
        <v>969</v>
      </c>
      <c r="G43" s="11"/>
      <c r="H43" s="11"/>
    </row>
    <row r="44" spans="1:8" ht="33.950000000000003" customHeight="1">
      <c r="A44" s="23" t="s">
        <v>1231</v>
      </c>
      <c r="B44" s="23" t="s">
        <v>1231</v>
      </c>
      <c r="C44" s="23" t="s">
        <v>1231</v>
      </c>
      <c r="D44" s="23" t="s">
        <v>1231</v>
      </c>
      <c r="E44" s="23" t="s">
        <v>1231</v>
      </c>
      <c r="F44" s="23" t="s">
        <v>1231</v>
      </c>
      <c r="G44" s="23" t="s">
        <v>1231</v>
      </c>
      <c r="H44" s="23" t="s">
        <v>1231</v>
      </c>
    </row>
    <row r="45" spans="1:8" ht="32.1" customHeight="1">
      <c r="A45" s="7" t="s">
        <v>17</v>
      </c>
      <c r="B45" s="7" t="s">
        <v>1232</v>
      </c>
      <c r="C45" s="7" t="s">
        <v>1233</v>
      </c>
      <c r="D45" s="7" t="s">
        <v>1234</v>
      </c>
      <c r="E45" s="7" t="s">
        <v>1235</v>
      </c>
      <c r="F45" s="7" t="s">
        <v>963</v>
      </c>
      <c r="G45" s="7" t="s">
        <v>1236</v>
      </c>
      <c r="H45" s="7" t="s">
        <v>1237</v>
      </c>
    </row>
    <row r="46" spans="1:8" ht="211.5" customHeight="1">
      <c r="A46" s="2" t="s">
        <v>1238</v>
      </c>
      <c r="B46" s="10" t="s">
        <v>1239</v>
      </c>
      <c r="C46" s="10" t="s">
        <v>1240</v>
      </c>
      <c r="D46" s="10" t="s">
        <v>978</v>
      </c>
      <c r="E46" s="10" t="s">
        <v>1241</v>
      </c>
      <c r="F46" s="11" t="s">
        <v>1242</v>
      </c>
      <c r="G46" s="11"/>
      <c r="H46" s="11"/>
    </row>
    <row r="47" spans="1:8" ht="94.5" customHeight="1">
      <c r="A47" s="2" t="s">
        <v>1243</v>
      </c>
      <c r="B47" s="10" t="s">
        <v>1239</v>
      </c>
      <c r="C47" s="10" t="s">
        <v>1244</v>
      </c>
      <c r="D47" s="10" t="s">
        <v>1245</v>
      </c>
      <c r="E47" s="10" t="s">
        <v>1246</v>
      </c>
      <c r="F47" s="11" t="s">
        <v>1242</v>
      </c>
      <c r="G47" s="11"/>
      <c r="H47" s="11"/>
    </row>
    <row r="48" spans="1:8" ht="120.75" customHeight="1">
      <c r="A48" s="2" t="s">
        <v>1247</v>
      </c>
      <c r="B48" s="10" t="s">
        <v>1239</v>
      </c>
      <c r="C48" s="10" t="s">
        <v>1248</v>
      </c>
      <c r="D48" s="10" t="s">
        <v>1249</v>
      </c>
      <c r="E48" s="10" t="s">
        <v>1250</v>
      </c>
      <c r="F48" s="11" t="s">
        <v>1242</v>
      </c>
      <c r="G48" s="11"/>
      <c r="H48" s="11"/>
    </row>
    <row r="49" spans="1:8" ht="186" customHeight="1">
      <c r="A49" s="2" t="s">
        <v>1251</v>
      </c>
      <c r="B49" s="10" t="s">
        <v>1239</v>
      </c>
      <c r="C49" s="10" t="s">
        <v>1252</v>
      </c>
      <c r="D49" s="10" t="s">
        <v>1253</v>
      </c>
      <c r="E49" s="10" t="s">
        <v>1254</v>
      </c>
      <c r="F49" s="11" t="s">
        <v>1242</v>
      </c>
      <c r="G49" s="11"/>
      <c r="H49" s="11"/>
    </row>
    <row r="50" spans="1:8" ht="30" customHeight="1">
      <c r="A50" s="2" t="s">
        <v>1255</v>
      </c>
      <c r="B50" s="10" t="s">
        <v>1239</v>
      </c>
      <c r="C50" s="10" t="s">
        <v>1256</v>
      </c>
      <c r="D50" s="10" t="s">
        <v>1257</v>
      </c>
      <c r="E50" s="10" t="s">
        <v>1258</v>
      </c>
      <c r="F50" s="11" t="s">
        <v>1242</v>
      </c>
      <c r="G50" s="11"/>
      <c r="H50" s="11"/>
    </row>
    <row r="51" spans="1:8" ht="159.75" customHeight="1">
      <c r="A51" s="2" t="s">
        <v>1259</v>
      </c>
      <c r="B51" s="10" t="s">
        <v>1239</v>
      </c>
      <c r="C51" s="10" t="s">
        <v>1260</v>
      </c>
      <c r="D51" s="10" t="s">
        <v>1261</v>
      </c>
      <c r="E51" s="10" t="s">
        <v>1262</v>
      </c>
      <c r="F51" s="11" t="s">
        <v>1242</v>
      </c>
      <c r="G51" s="11"/>
      <c r="H51" s="11"/>
    </row>
    <row r="52" spans="1:8" ht="108" customHeight="1">
      <c r="A52" s="2" t="s">
        <v>1263</v>
      </c>
      <c r="B52" s="10" t="s">
        <v>1239</v>
      </c>
      <c r="C52" s="10" t="s">
        <v>1264</v>
      </c>
      <c r="D52" s="10" t="s">
        <v>1265</v>
      </c>
      <c r="E52" s="10" t="s">
        <v>1266</v>
      </c>
      <c r="F52" s="11" t="s">
        <v>1242</v>
      </c>
      <c r="G52" s="11"/>
      <c r="H52" s="11"/>
    </row>
    <row r="53" spans="1:8" ht="159.75" customHeight="1">
      <c r="A53" s="2" t="s">
        <v>1267</v>
      </c>
      <c r="B53" s="10" t="s">
        <v>1239</v>
      </c>
      <c r="C53" s="10" t="s">
        <v>1268</v>
      </c>
      <c r="D53" s="10" t="s">
        <v>1269</v>
      </c>
      <c r="E53" s="10" t="s">
        <v>1270</v>
      </c>
      <c r="F53" s="11" t="s">
        <v>1242</v>
      </c>
      <c r="G53" s="11"/>
      <c r="H53" s="11"/>
    </row>
    <row r="54" spans="1:8" ht="94.5" customHeight="1">
      <c r="A54" s="2" t="s">
        <v>1271</v>
      </c>
      <c r="B54" s="10" t="s">
        <v>1239</v>
      </c>
      <c r="C54" s="10" t="s">
        <v>1272</v>
      </c>
      <c r="D54" s="10" t="s">
        <v>1273</v>
      </c>
      <c r="E54" s="10" t="s">
        <v>1274</v>
      </c>
      <c r="F54" s="11" t="s">
        <v>1242</v>
      </c>
      <c r="G54" s="11"/>
      <c r="H54" s="11"/>
    </row>
    <row r="55" spans="1:8" ht="133.5" customHeight="1">
      <c r="A55" s="2" t="s">
        <v>1275</v>
      </c>
      <c r="B55" s="10" t="s">
        <v>1239</v>
      </c>
      <c r="C55" s="10" t="s">
        <v>1276</v>
      </c>
      <c r="D55" s="10" t="s">
        <v>1215</v>
      </c>
      <c r="E55" s="10" t="s">
        <v>1277</v>
      </c>
      <c r="F55" s="11" t="s">
        <v>1242</v>
      </c>
      <c r="G55" s="11"/>
      <c r="H55" s="11"/>
    </row>
    <row r="56" spans="1:8" ht="69" customHeight="1">
      <c r="A56" s="2" t="s">
        <v>1278</v>
      </c>
      <c r="B56" s="10" t="s">
        <v>1239</v>
      </c>
      <c r="C56" s="10" t="s">
        <v>1279</v>
      </c>
      <c r="D56" s="10" t="s">
        <v>1280</v>
      </c>
      <c r="E56" s="10" t="s">
        <v>1281</v>
      </c>
      <c r="F56" s="11" t="s">
        <v>1242</v>
      </c>
      <c r="G56" s="11"/>
      <c r="H56" s="11"/>
    </row>
    <row r="57" spans="1:8" ht="16.5" customHeight="1">
      <c r="A57" s="2" t="s">
        <v>1282</v>
      </c>
      <c r="B57" s="10" t="s">
        <v>1239</v>
      </c>
      <c r="C57" s="10" t="s">
        <v>1283</v>
      </c>
      <c r="D57" s="10" t="s">
        <v>1284</v>
      </c>
      <c r="E57" s="10" t="s">
        <v>1285</v>
      </c>
      <c r="F57" s="11" t="s">
        <v>1242</v>
      </c>
      <c r="G57" s="11"/>
      <c r="H57" s="11"/>
    </row>
    <row r="58" spans="1:8" ht="81.75" customHeight="1">
      <c r="A58" s="2" t="s">
        <v>1286</v>
      </c>
      <c r="B58" s="10" t="s">
        <v>1239</v>
      </c>
      <c r="C58" s="10" t="s">
        <v>1287</v>
      </c>
      <c r="D58" s="10" t="s">
        <v>1288</v>
      </c>
      <c r="E58" s="10" t="s">
        <v>1289</v>
      </c>
      <c r="F58" s="11" t="s">
        <v>1242</v>
      </c>
      <c r="G58" s="11"/>
      <c r="H58" s="11"/>
    </row>
    <row r="59" spans="1:8" ht="16.5" customHeight="1">
      <c r="A59" s="2" t="s">
        <v>1290</v>
      </c>
      <c r="B59" s="10" t="s">
        <v>1239</v>
      </c>
      <c r="C59" s="10" t="s">
        <v>1291</v>
      </c>
      <c r="D59" s="10" t="s">
        <v>1292</v>
      </c>
      <c r="E59" s="10" t="s">
        <v>1293</v>
      </c>
      <c r="F59" s="11" t="s">
        <v>1242</v>
      </c>
      <c r="G59" s="11"/>
      <c r="H59" s="11"/>
    </row>
    <row r="60" spans="1:8" ht="30" customHeight="1">
      <c r="A60" s="2" t="s">
        <v>1294</v>
      </c>
      <c r="B60" s="10" t="s">
        <v>1239</v>
      </c>
      <c r="C60" s="10" t="s">
        <v>1295</v>
      </c>
      <c r="D60" s="10" t="s">
        <v>1296</v>
      </c>
      <c r="E60" s="10" t="s">
        <v>1293</v>
      </c>
      <c r="F60" s="11" t="s">
        <v>1242</v>
      </c>
      <c r="G60" s="11"/>
      <c r="H60" s="11"/>
    </row>
    <row r="61" spans="1:8" ht="94.5" customHeight="1">
      <c r="A61" s="2" t="s">
        <v>1297</v>
      </c>
      <c r="B61" s="10" t="s">
        <v>1239</v>
      </c>
      <c r="C61" s="10" t="s">
        <v>1298</v>
      </c>
      <c r="D61" s="10" t="s">
        <v>1299</v>
      </c>
      <c r="E61" s="10" t="s">
        <v>1300</v>
      </c>
      <c r="F61" s="11" t="s">
        <v>1242</v>
      </c>
      <c r="G61" s="11"/>
      <c r="H61" s="11"/>
    </row>
    <row r="62" spans="1:8" ht="94.5" customHeight="1">
      <c r="A62" s="2" t="s">
        <v>1301</v>
      </c>
      <c r="B62" s="10" t="s">
        <v>1239</v>
      </c>
      <c r="C62" s="10" t="s">
        <v>1302</v>
      </c>
      <c r="D62" s="10" t="s">
        <v>1163</v>
      </c>
      <c r="E62" s="10" t="s">
        <v>1303</v>
      </c>
      <c r="F62" s="11" t="s">
        <v>1242</v>
      </c>
      <c r="G62" s="11"/>
      <c r="H62" s="11"/>
    </row>
    <row r="63" spans="1:8" ht="69" customHeight="1">
      <c r="A63" s="2" t="s">
        <v>1304</v>
      </c>
      <c r="B63" s="10" t="s">
        <v>1239</v>
      </c>
      <c r="C63" s="10" t="s">
        <v>1305</v>
      </c>
      <c r="D63" s="10" t="s">
        <v>1306</v>
      </c>
      <c r="E63" s="10" t="s">
        <v>1307</v>
      </c>
      <c r="F63" s="11" t="s">
        <v>1242</v>
      </c>
      <c r="G63" s="11"/>
      <c r="H63" s="11"/>
    </row>
    <row r="64" spans="1:8" ht="81.75" customHeight="1">
      <c r="A64" s="2" t="s">
        <v>1308</v>
      </c>
      <c r="B64" s="10" t="s">
        <v>1239</v>
      </c>
      <c r="C64" s="10" t="s">
        <v>1309</v>
      </c>
      <c r="D64" s="10" t="s">
        <v>1310</v>
      </c>
      <c r="E64" s="10" t="s">
        <v>1311</v>
      </c>
      <c r="F64" s="11" t="s">
        <v>1242</v>
      </c>
      <c r="G64" s="11"/>
      <c r="H64" s="11"/>
    </row>
  </sheetData>
  <mergeCells count="6">
    <mergeCell ref="A44:H44"/>
    <mergeCell ref="A1:H1"/>
    <mergeCell ref="A2:H2"/>
    <mergeCell ref="A3:H3"/>
    <mergeCell ref="A4:H4"/>
    <mergeCell ref="A5:H5"/>
  </mergeCells>
  <dataValidations count="2">
    <dataValidation type="list" allowBlank="1" errorTitle="Choose from the list" error="Please choose one of the options in the list." sqref="F7:F43" xr:uid="{00000000-0002-0000-0600-000000000000}">
      <formula1>"Correct,Needs change,Not sure"</formula1>
      <formula2>0</formula2>
    </dataValidation>
    <dataValidation type="list" allowBlank="1" errorTitle="Choose from the list" error="Please choose one of the options in the list." sqref="F46:F64" xr:uid="{00000000-0002-0000-0600-000001000000}">
      <formula1>"My version is right,The engine’s version is right,Neither — see my version,Not sure"</formula1>
      <formula2>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3B3B3"/>
  </sheetPr>
  <dimension ref="A1:B16"/>
  <sheetViews>
    <sheetView topLeftCell="A7" workbookViewId="0"/>
  </sheetViews>
  <sheetFormatPr defaultColWidth="8.7109375" defaultRowHeight="15"/>
  <cols>
    <col min="1" max="1" width="34" customWidth="1"/>
    <col min="2" max="2" width="110" customWidth="1"/>
  </cols>
  <sheetData>
    <row r="1" spans="1:2" ht="24" customHeight="1">
      <c r="A1" s="27" t="s">
        <v>1312</v>
      </c>
      <c r="B1" s="27"/>
    </row>
    <row r="2" spans="1:2" ht="18" customHeight="1">
      <c r="A2" s="16" t="s">
        <v>1313</v>
      </c>
      <c r="B2" s="16"/>
    </row>
    <row r="4" spans="1:2" ht="31.5" customHeight="1">
      <c r="A4" s="7" t="s">
        <v>1314</v>
      </c>
      <c r="B4" s="7" t="s">
        <v>1315</v>
      </c>
    </row>
    <row r="5" spans="1:2" ht="30" customHeight="1">
      <c r="A5" s="2" t="s">
        <v>1316</v>
      </c>
      <c r="B5" s="10" t="s">
        <v>1317</v>
      </c>
    </row>
    <row r="6" spans="1:2" ht="30" customHeight="1">
      <c r="A6" s="2" t="s">
        <v>1318</v>
      </c>
      <c r="B6" s="10" t="s">
        <v>1319</v>
      </c>
    </row>
    <row r="7" spans="1:2" ht="30" customHeight="1">
      <c r="A7" s="2" t="s">
        <v>1320</v>
      </c>
      <c r="B7" s="10" t="s">
        <v>1321</v>
      </c>
    </row>
    <row r="8" spans="1:2" ht="30" customHeight="1">
      <c r="A8" s="2" t="s">
        <v>1322</v>
      </c>
      <c r="B8" s="10" t="s">
        <v>1323</v>
      </c>
    </row>
    <row r="9" spans="1:2" ht="30" customHeight="1">
      <c r="A9" s="2" t="s">
        <v>1324</v>
      </c>
      <c r="B9" s="10" t="s">
        <v>1325</v>
      </c>
    </row>
    <row r="10" spans="1:2" ht="30" customHeight="1">
      <c r="A10" s="2" t="s">
        <v>1326</v>
      </c>
      <c r="B10" s="10" t="s">
        <v>1327</v>
      </c>
    </row>
    <row r="11" spans="1:2" ht="16.5" customHeight="1">
      <c r="A11" s="2" t="s">
        <v>1328</v>
      </c>
      <c r="B11" s="10" t="s">
        <v>1329</v>
      </c>
    </row>
    <row r="12" spans="1:2" ht="30" customHeight="1">
      <c r="A12" s="2" t="s">
        <v>1330</v>
      </c>
      <c r="B12" s="10" t="s">
        <v>1331</v>
      </c>
    </row>
    <row r="13" spans="1:2" ht="16.5" customHeight="1">
      <c r="A13" s="2" t="s">
        <v>1332</v>
      </c>
      <c r="B13" s="10" t="s">
        <v>1333</v>
      </c>
    </row>
    <row r="14" spans="1:2" ht="30" customHeight="1">
      <c r="A14" s="2" t="s">
        <v>1334</v>
      </c>
      <c r="B14" s="10" t="s">
        <v>1335</v>
      </c>
    </row>
    <row r="15" spans="1:2" ht="16.5" customHeight="1">
      <c r="A15" s="2" t="s">
        <v>1336</v>
      </c>
      <c r="B15" s="10" t="s">
        <v>1337</v>
      </c>
    </row>
    <row r="16" spans="1:2" ht="16.5" customHeight="1">
      <c r="A16" s="2" t="s">
        <v>1338</v>
      </c>
      <c r="B16" s="10" t="s">
        <v>1339</v>
      </c>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Aron Roberts</cp:lastModifiedBy>
  <cp:revision/>
  <dcterms:created xsi:type="dcterms:W3CDTF">2026-09-20T20:17:28Z</dcterms:created>
  <dcterms:modified xsi:type="dcterms:W3CDTF">2026-09-21T05:15:24Z</dcterms:modified>
  <cp:category/>
  <cp:contentStatus/>
</cp:coreProperties>
</file>